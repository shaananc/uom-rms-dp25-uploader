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1" activeTab="3" autoFilterDateGrouping="1"/>
  </bookViews>
  <sheets>
    <sheet name="1. Salary Scales" sheetId="1" state="visible" r:id="rId1"/>
    <sheet name="2. DP27 Budget Tool" sheetId="2" state="visible" r:id="rId2"/>
    <sheet name="3. DP27 One-Line Budget Example" sheetId="3" state="visible" r:id="rId3"/>
    <sheet name="4. ATO Rates - Domestic" sheetId="4" state="visible" r:id="rId4"/>
    <sheet name="5. ATO Rates - International" sheetId="5" state="visible" r:id="rId5"/>
    <sheet name="6. Flights &amp; Int Accommodation" sheetId="6" state="visible" r:id="rId6"/>
  </sheets>
  <externalReferences>
    <externalReference r:id="rId7"/>
  </externalReferences>
  <definedNames>
    <definedName name="LSL">[1]names!$B$12:$B$13</definedName>
    <definedName name="paylevel">[1]Sheet1!$A$1:$A$240</definedName>
    <definedName name="super">[1]names!$B$6:$B$8</definedName>
    <definedName name="type">#REF!</definedName>
    <definedName name="_xlnm.Print_Area" localSheetId="0">'1. Salary Scales'!$B$1:$L$77</definedName>
  </definedNames>
  <calcPr calcId="191029" fullCalcOnLoad="1"/>
</workbook>
</file>

<file path=xl/styles.xml><?xml version="1.0" encoding="utf-8"?>
<styleSheet xmlns="http://schemas.openxmlformats.org/spreadsheetml/2006/main">
  <numFmts count="4">
    <numFmt numFmtId="164" formatCode="&quot;$&quot;#,##0"/>
    <numFmt numFmtId="165" formatCode="&quot;$&quot;#,##0.00"/>
    <numFmt numFmtId="166" formatCode="&quot;$&quot;#,##0;[Red]\-&quot;$&quot;#,##0"/>
    <numFmt numFmtId="167" formatCode="_-&quot;$&quot;* #,##0_-;\-&quot;$&quot;* #,##0_-;_-&quot;$&quot;* &quot;-&quot;??_-;_-@_-"/>
  </numFmts>
  <fonts count="29">
    <font>
      <name val="Calibri"/>
      <family val="2"/>
      <color theme="1"/>
      <sz val="11"/>
      <scheme val="minor"/>
    </font>
    <font>
      <name val="Arial"/>
      <family val="2"/>
      <sz val="10"/>
    </font>
    <font>
      <name val="Calibri"/>
      <family val="2"/>
      <b val="1"/>
      <color theme="1"/>
      <sz val="11"/>
      <scheme val="minor"/>
    </font>
    <font>
      <name val="Calibri"/>
      <family val="2"/>
      <sz val="10"/>
      <scheme val="minor"/>
    </font>
    <font>
      <name val="Calibri"/>
      <family val="2"/>
      <b val="1"/>
      <sz val="11"/>
      <scheme val="minor"/>
    </font>
    <font>
      <name val="Calibri"/>
      <family val="2"/>
      <sz val="11"/>
      <scheme val="minor"/>
    </font>
    <font>
      <name val="Calibri"/>
      <family val="2"/>
      <color rgb="FF006100"/>
      <sz val="11"/>
      <scheme val="minor"/>
    </font>
    <font>
      <name val="Calibri"/>
      <family val="2"/>
      <b val="1"/>
      <sz val="14"/>
      <scheme val="minor"/>
    </font>
    <font>
      <name val="Calibri"/>
      <family val="2"/>
      <sz val="8"/>
      <scheme val="minor"/>
    </font>
    <font>
      <name val="Calibri"/>
      <family val="2"/>
      <b val="1"/>
      <sz val="18"/>
      <scheme val="minor"/>
    </font>
    <font>
      <name val="Calibri"/>
      <family val="2"/>
      <b val="1"/>
      <color theme="1" tint="0.249977111117893"/>
      <sz val="11"/>
      <scheme val="minor"/>
    </font>
    <font>
      <name val="Calibri"/>
      <family val="2"/>
      <color theme="1" tint="0.249977111117893"/>
      <sz val="11"/>
      <scheme val="minor"/>
    </font>
    <font>
      <name val="Calibri"/>
      <family val="2"/>
      <color theme="1"/>
      <sz val="11"/>
      <scheme val="minor"/>
    </font>
    <font>
      <name val="Calibri"/>
      <family val="2"/>
      <b val="1"/>
      <color theme="1"/>
      <sz val="24"/>
      <scheme val="minor"/>
    </font>
    <font>
      <name val="Calibri"/>
      <family val="2"/>
      <b val="1"/>
      <color theme="1"/>
      <sz val="14"/>
      <scheme val="minor"/>
    </font>
    <font>
      <name val="Calibri"/>
      <family val="2"/>
      <b val="1"/>
      <color theme="1"/>
      <sz val="16"/>
      <scheme val="minor"/>
    </font>
    <font>
      <name val="Calibri"/>
      <family val="2"/>
      <i val="1"/>
      <color theme="1"/>
      <sz val="10"/>
      <scheme val="minor"/>
    </font>
    <font>
      <name val="Tahoma"/>
      <family val="2"/>
      <color indexed="81"/>
      <sz val="9"/>
    </font>
    <font>
      <name val="Tahoma"/>
      <family val="2"/>
      <b val="1"/>
      <color indexed="81"/>
      <sz val="9"/>
    </font>
    <font>
      <name val="Calibri"/>
      <family val="2"/>
      <b val="1"/>
      <sz val="10"/>
      <scheme val="minor"/>
    </font>
    <font>
      <name val="Calibri"/>
      <family val="2"/>
      <b val="1"/>
      <color rgb="FFFF0000"/>
      <sz val="10"/>
      <scheme val="minor"/>
    </font>
    <font>
      <name val="Arial"/>
      <family val="2"/>
      <b val="1"/>
      <color rgb="FF000000"/>
      <sz val="10"/>
    </font>
    <font>
      <name val="Arial"/>
      <family val="2"/>
      <color rgb="FF000000"/>
      <sz val="10"/>
    </font>
    <font>
      <name val="Calibri"/>
      <family val="2"/>
      <b val="1"/>
      <color rgb="FF000000"/>
      <sz val="12"/>
      <scheme val="minor"/>
    </font>
    <font>
      <name val="Calibri"/>
      <family val="2"/>
      <color theme="1"/>
      <sz val="12"/>
      <scheme val="minor"/>
    </font>
    <font>
      <name val="Calibri"/>
      <family val="2"/>
      <color rgb="FF000000"/>
      <sz val="12"/>
      <scheme val="minor"/>
    </font>
    <font>
      <name val="Calibri"/>
      <family val="2"/>
      <b val="1"/>
      <color theme="1"/>
      <sz val="12"/>
      <scheme val="minor"/>
    </font>
    <font>
      <name val="Arial"/>
      <family val="2"/>
      <b val="1"/>
      <color rgb="FF000000"/>
      <sz val="12"/>
    </font>
    <font>
      <name val="Arial"/>
      <family val="2"/>
      <color rgb="FF000000"/>
      <sz val="12"/>
    </font>
  </fonts>
  <fills count="13">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theme="7" tint="0.5999938962981048"/>
        <bgColor indexed="64"/>
      </patternFill>
    </fill>
    <fill>
      <patternFill patternType="solid">
        <fgColor theme="7" tint="0.7999816888943144"/>
        <bgColor indexed="64"/>
      </patternFill>
    </fill>
    <fill>
      <patternFill patternType="solid">
        <fgColor rgb="FFC6EFCE"/>
      </patternFill>
    </fill>
    <fill>
      <patternFill patternType="solid">
        <fgColor theme="1"/>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8" tint="0.3999755851924192"/>
        <bgColor indexed="64"/>
      </patternFill>
    </fill>
    <fill>
      <patternFill patternType="solid">
        <fgColor rgb="FFFFEFFF"/>
        <bgColor indexed="64"/>
      </patternFill>
    </fill>
    <fill>
      <patternFill patternType="solid">
        <fgColor theme="8" tint="0.7999816888943144"/>
        <bgColor indexed="64"/>
      </patternFill>
    </fill>
  </fills>
  <borders count="92">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bottom/>
      <diagonal/>
    </border>
    <border>
      <left style="thin">
        <color rgb="FF000000"/>
      </left>
      <right style="thin">
        <color rgb="FF000000"/>
      </right>
      <top/>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auto="1"/>
      </top>
      <bottom/>
      <diagonal/>
    </border>
    <border>
      <left style="thin">
        <color auto="1"/>
      </left>
      <right style="medium">
        <color indexed="64"/>
      </right>
      <top style="thin">
        <color auto="1"/>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auto="1"/>
      </top>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auto="1"/>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rgb="FF000000"/>
      </left>
      <right style="thin">
        <color rgb="FF000000"/>
      </right>
      <top/>
      <bottom style="thin">
        <color rgb="FF000000"/>
      </bottom>
      <diagonal/>
    </border>
    <border>
      <left/>
      <right/>
      <top/>
      <bottom style="thin">
        <color rgb="FF000000"/>
      </bottom>
      <diagonal/>
    </border>
    <border>
      <left style="thin">
        <color indexed="64"/>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indexed="64"/>
      </right>
      <top style="medium">
        <color indexed="64"/>
      </top>
      <bottom style="thin">
        <color indexed="64"/>
      </bottom>
      <diagonal/>
    </border>
    <border>
      <left/>
      <right/>
      <top style="thin">
        <color indexed="64"/>
      </top>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rgb="FF000000"/>
      </left>
      <right/>
      <top/>
      <bottom/>
      <diagonal/>
    </border>
    <border>
      <left style="thin">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s>
  <cellStyleXfs count="4">
    <xf numFmtId="0" fontId="12" fillId="0" borderId="0"/>
    <xf numFmtId="0" fontId="1" fillId="0" borderId="0"/>
    <xf numFmtId="0" fontId="6" fillId="6" borderId="0"/>
    <xf numFmtId="44" fontId="12" fillId="0" borderId="0"/>
  </cellStyleXfs>
  <cellXfs count="329">
    <xf numFmtId="0" fontId="0" fillId="0" borderId="0" pivotButton="0" quotePrefix="0" xfId="0"/>
    <xf numFmtId="0" fontId="4" fillId="0" borderId="2" applyAlignment="1" pivotButton="0" quotePrefix="0" xfId="0">
      <alignment horizontal="center" vertical="top" wrapText="1"/>
    </xf>
    <xf numFmtId="0" fontId="5" fillId="0" borderId="2" applyAlignment="1" pivotButton="0" quotePrefix="0" xfId="0">
      <alignment horizontal="center" vertical="top" wrapText="1"/>
    </xf>
    <xf numFmtId="3" fontId="5" fillId="0" borderId="2" applyAlignment="1" pivotButton="0" quotePrefix="0" xfId="0">
      <alignment horizontal="center" vertical="top" wrapText="1"/>
    </xf>
    <xf numFmtId="0" fontId="2" fillId="0" borderId="0" pivotButton="0" quotePrefix="0" xfId="0"/>
    <xf numFmtId="0" fontId="4" fillId="4" borderId="2" applyAlignment="1" pivotButton="0" quotePrefix="0" xfId="0">
      <alignment horizontal="center" vertical="top" wrapText="1"/>
    </xf>
    <xf numFmtId="164" fontId="5" fillId="3" borderId="0" applyAlignment="1" pivotButton="0" quotePrefix="0" xfId="0">
      <alignment horizontal="center" vertical="top" wrapText="1"/>
    </xf>
    <xf numFmtId="165" fontId="0" fillId="0" borderId="0" pivotButton="0" quotePrefix="0" xfId="0"/>
    <xf numFmtId="164" fontId="0" fillId="0" borderId="0" pivotButton="0" quotePrefix="0" xfId="0"/>
    <xf numFmtId="0" fontId="5" fillId="0" borderId="3" applyAlignment="1" pivotButton="0" quotePrefix="0" xfId="0">
      <alignment horizontal="center" vertical="top" wrapText="1"/>
    </xf>
    <xf numFmtId="0" fontId="5" fillId="0" borderId="9" applyAlignment="1" pivotButton="0" quotePrefix="0" xfId="0">
      <alignment horizontal="center" vertical="top" wrapText="1"/>
    </xf>
    <xf numFmtId="0" fontId="5" fillId="0" borderId="14" applyAlignment="1" pivotButton="0" quotePrefix="0" xfId="0">
      <alignment horizontal="center" vertical="top" wrapText="1"/>
    </xf>
    <xf numFmtId="3" fontId="5" fillId="0" borderId="9" applyAlignment="1" pivotButton="0" quotePrefix="0" xfId="0">
      <alignment horizontal="center" vertical="top" wrapText="1"/>
    </xf>
    <xf numFmtId="3" fontId="5" fillId="0" borderId="14" applyAlignment="1" pivotButton="0" quotePrefix="0" xfId="0">
      <alignment horizontal="center" vertical="top" wrapText="1"/>
    </xf>
    <xf numFmtId="0" fontId="5" fillId="0" borderId="16" applyAlignment="1" pivotButton="0" quotePrefix="0" xfId="0">
      <alignment horizontal="center" vertical="center" wrapText="1"/>
    </xf>
    <xf numFmtId="3" fontId="5" fillId="0" borderId="20" applyAlignment="1" pivotButton="0" quotePrefix="0" xfId="0">
      <alignment horizontal="center" vertical="top" wrapText="1"/>
    </xf>
    <xf numFmtId="0" fontId="0" fillId="7" borderId="25" pivotButton="0" quotePrefix="0" xfId="0"/>
    <xf numFmtId="0" fontId="4" fillId="0" borderId="27" applyAlignment="1" pivotButton="0" quotePrefix="0" xfId="0">
      <alignment vertical="top" wrapText="1"/>
    </xf>
    <xf numFmtId="0" fontId="0" fillId="0" borderId="12" pivotButton="0" quotePrefix="0" xfId="0"/>
    <xf numFmtId="0" fontId="2" fillId="0" borderId="27" applyAlignment="1" pivotButton="0" quotePrefix="0" xfId="0">
      <alignment horizontal="center" vertical="top"/>
    </xf>
    <xf numFmtId="0" fontId="4" fillId="4" borderId="12" applyAlignment="1" pivotButton="0" quotePrefix="0" xfId="0">
      <alignment horizontal="center" vertical="top" wrapText="1"/>
    </xf>
    <xf numFmtId="0" fontId="0" fillId="7" borderId="29" pivotButton="0" quotePrefix="0" xfId="0"/>
    <xf numFmtId="0" fontId="10" fillId="8" borderId="2" applyAlignment="1" pivotButton="0" quotePrefix="0" xfId="1">
      <alignment horizontal="center" vertical="top" wrapText="1"/>
    </xf>
    <xf numFmtId="164" fontId="11" fillId="8" borderId="3" applyAlignment="1" pivotButton="0" quotePrefix="0" xfId="0">
      <alignment horizontal="center" vertical="top" wrapText="1"/>
    </xf>
    <xf numFmtId="164" fontId="11" fillId="8" borderId="2" applyAlignment="1" pivotButton="0" quotePrefix="0" xfId="0">
      <alignment horizontal="center" vertical="top" wrapText="1"/>
    </xf>
    <xf numFmtId="164" fontId="11" fillId="8" borderId="14" applyAlignment="1" pivotButton="0" quotePrefix="0" xfId="0">
      <alignment horizontal="center" vertical="top" wrapText="1"/>
    </xf>
    <xf numFmtId="164" fontId="11" fillId="8" borderId="9" applyAlignment="1" pivotButton="0" quotePrefix="0" xfId="0">
      <alignment horizontal="center" vertical="top" wrapText="1"/>
    </xf>
    <xf numFmtId="164" fontId="11" fillId="8" borderId="20" applyAlignment="1" pivotButton="0" quotePrefix="0" xfId="0">
      <alignment horizontal="center" vertical="top" wrapText="1"/>
    </xf>
    <xf numFmtId="166" fontId="4" fillId="4" borderId="3" applyAlignment="1" pivotButton="0" quotePrefix="0" xfId="0">
      <alignment horizontal="center" vertical="top" wrapText="1"/>
    </xf>
    <xf numFmtId="166" fontId="4" fillId="4" borderId="2" applyAlignment="1" pivotButton="0" quotePrefix="0" xfId="0">
      <alignment horizontal="center" vertical="top" wrapText="1"/>
    </xf>
    <xf numFmtId="166" fontId="4" fillId="4" borderId="14" applyAlignment="1" pivotButton="0" quotePrefix="0" xfId="0">
      <alignment horizontal="center" vertical="top" wrapText="1"/>
    </xf>
    <xf numFmtId="166" fontId="4" fillId="4" borderId="9" applyAlignment="1" pivotButton="0" quotePrefix="0" xfId="0">
      <alignment horizontal="center" vertical="top" wrapText="1"/>
    </xf>
    <xf numFmtId="166" fontId="4" fillId="4" borderId="20" applyAlignment="1" pivotButton="0" quotePrefix="0" xfId="0">
      <alignment horizontal="center" vertical="top" wrapText="1"/>
    </xf>
    <xf numFmtId="164" fontId="4" fillId="4" borderId="22" applyAlignment="1" pivotButton="0" quotePrefix="0" xfId="0">
      <alignment horizontal="center" vertical="top" wrapText="1"/>
    </xf>
    <xf numFmtId="164" fontId="4" fillId="4" borderId="12" applyAlignment="1" pivotButton="0" quotePrefix="0" xfId="0">
      <alignment horizontal="center" vertical="top" wrapText="1"/>
    </xf>
    <xf numFmtId="164" fontId="4" fillId="4" borderId="15" applyAlignment="1" pivotButton="0" quotePrefix="0" xfId="0">
      <alignment horizontal="center" vertical="top" wrapText="1"/>
    </xf>
    <xf numFmtId="164" fontId="4" fillId="4" borderId="10" applyAlignment="1" pivotButton="0" quotePrefix="0" xfId="0">
      <alignment horizontal="center" vertical="top" wrapText="1"/>
    </xf>
    <xf numFmtId="164" fontId="4" fillId="4" borderId="21" applyAlignment="1" pivotButton="0" quotePrefix="0" xfId="0">
      <alignment horizontal="center" vertical="top" wrapText="1"/>
    </xf>
    <xf numFmtId="0" fontId="4" fillId="0" borderId="27" applyAlignment="1" pivotButton="0" quotePrefix="0" xfId="0">
      <alignment horizontal="center" vertical="top" wrapText="1"/>
    </xf>
    <xf numFmtId="164" fontId="4" fillId="4" borderId="2" applyAlignment="1" pivotButton="0" quotePrefix="0" xfId="0">
      <alignment horizontal="center" vertical="top" wrapText="1"/>
    </xf>
    <xf numFmtId="0" fontId="4" fillId="0" borderId="19" applyAlignment="1" pivotButton="0" quotePrefix="0" xfId="0">
      <alignment horizontal="center" vertical="top" wrapText="1"/>
    </xf>
    <xf numFmtId="164" fontId="4" fillId="4" borderId="14" applyAlignment="1" pivotButton="0" quotePrefix="0" xfId="0">
      <alignment horizontal="center" vertical="top" wrapText="1"/>
    </xf>
    <xf numFmtId="164" fontId="0" fillId="0" borderId="28" pivotButton="0" quotePrefix="0" xfId="0"/>
    <xf numFmtId="166" fontId="0" fillId="0" borderId="28" pivotButton="0" quotePrefix="0" xfId="0"/>
    <xf numFmtId="166" fontId="0" fillId="0" borderId="31" pivotButton="0" quotePrefix="0" xfId="0"/>
    <xf numFmtId="166" fontId="0" fillId="0" borderId="32" pivotButton="0" quotePrefix="0" xfId="0"/>
    <xf numFmtId="0" fontId="2" fillId="0" borderId="27" applyAlignment="1" pivotButton="0" quotePrefix="0" xfId="0">
      <alignment horizontal="left"/>
    </xf>
    <xf numFmtId="0" fontId="2" fillId="0" borderId="12" applyAlignment="1" pivotButton="0" quotePrefix="0" xfId="0">
      <alignment horizontal="left"/>
    </xf>
    <xf numFmtId="0" fontId="0" fillId="0" borderId="0" applyAlignment="1" pivotButton="0" quotePrefix="0" xfId="0">
      <alignment horizontal="center" vertical="center"/>
    </xf>
    <xf numFmtId="0" fontId="2" fillId="0" borderId="44" applyAlignment="1" pivotButton="0" quotePrefix="0" xfId="0">
      <alignment horizontal="left"/>
    </xf>
    <xf numFmtId="167" fontId="0" fillId="0" borderId="1" pivotButton="0" quotePrefix="0" xfId="3"/>
    <xf numFmtId="167" fontId="0" fillId="0" borderId="12" pivotButton="0" quotePrefix="0" xfId="3"/>
    <xf numFmtId="167" fontId="0" fillId="0" borderId="51" pivotButton="0" quotePrefix="0" xfId="3"/>
    <xf numFmtId="167" fontId="0" fillId="0" borderId="15" pivotButton="0" quotePrefix="0" xfId="3"/>
    <xf numFmtId="167" fontId="0" fillId="0" borderId="4" pivotButton="0" quotePrefix="0" xfId="3"/>
    <xf numFmtId="167" fontId="0" fillId="0" borderId="54" pivotButton="0" quotePrefix="0" xfId="3"/>
    <xf numFmtId="167" fontId="0" fillId="0" borderId="22" pivotButton="0" quotePrefix="0" xfId="3"/>
    <xf numFmtId="0" fontId="2" fillId="0" borderId="33" applyAlignment="1" pivotButton="0" quotePrefix="0" xfId="0">
      <alignment horizontal="left"/>
    </xf>
    <xf numFmtId="0" fontId="2" fillId="0" borderId="38" applyAlignment="1" pivotButton="0" quotePrefix="0" xfId="0">
      <alignment horizontal="left"/>
    </xf>
    <xf numFmtId="167" fontId="0" fillId="5" borderId="38" applyAlignment="1" pivotButton="0" quotePrefix="0" xfId="3">
      <alignment horizontal="center" vertical="center"/>
    </xf>
    <xf numFmtId="167" fontId="0" fillId="0" borderId="47" pivotButton="0" quotePrefix="0" xfId="3"/>
    <xf numFmtId="167" fontId="0" fillId="0" borderId="57" pivotButton="0" quotePrefix="0" xfId="3"/>
    <xf numFmtId="167" fontId="0" fillId="0" borderId="27" pivotButton="0" quotePrefix="0" xfId="3"/>
    <xf numFmtId="167" fontId="0" fillId="0" borderId="37" pivotButton="0" quotePrefix="0" xfId="3"/>
    <xf numFmtId="167" fontId="0" fillId="0" borderId="19" pivotButton="0" quotePrefix="0" xfId="3"/>
    <xf numFmtId="167" fontId="0" fillId="0" borderId="50" pivotButton="0" quotePrefix="0" xfId="3"/>
    <xf numFmtId="167" fontId="0" fillId="0" borderId="35" pivotButton="0" quotePrefix="0" xfId="3"/>
    <xf numFmtId="167" fontId="0" fillId="2" borderId="34" applyAlignment="1" pivotButton="0" quotePrefix="0" xfId="3">
      <alignment horizontal="center" vertical="center"/>
    </xf>
    <xf numFmtId="167" fontId="0" fillId="8" borderId="50" applyAlignment="1" pivotButton="0" quotePrefix="0" xfId="3">
      <alignment horizontal="center" vertical="center"/>
    </xf>
    <xf numFmtId="167" fontId="0" fillId="8" borderId="35" applyAlignment="1" pivotButton="0" quotePrefix="0" xfId="3">
      <alignment horizontal="center" vertical="center"/>
    </xf>
    <xf numFmtId="167" fontId="0" fillId="8" borderId="45" applyAlignment="1" pivotButton="0" quotePrefix="0" xfId="3">
      <alignment horizontal="center" vertical="center"/>
    </xf>
    <xf numFmtId="167" fontId="14" fillId="10" borderId="39" pivotButton="0" quotePrefix="0" xfId="3"/>
    <xf numFmtId="167" fontId="14" fillId="10" borderId="58" pivotButton="0" quotePrefix="0" xfId="3"/>
    <xf numFmtId="167" fontId="14" fillId="10" borderId="46" pivotButton="0" quotePrefix="0" xfId="3"/>
    <xf numFmtId="167" fontId="14" fillId="10" borderId="48" pivotButton="0" quotePrefix="0" xfId="3"/>
    <xf numFmtId="167" fontId="14" fillId="10" borderId="49" pivotButton="0" quotePrefix="0" xfId="3"/>
    <xf numFmtId="167" fontId="14" fillId="10" borderId="41" pivotButton="0" quotePrefix="0" xfId="3"/>
    <xf numFmtId="0" fontId="0" fillId="0" borderId="50" pivotButton="0" quotePrefix="0" xfId="0"/>
    <xf numFmtId="0" fontId="0" fillId="0" borderId="35" pivotButton="0" quotePrefix="0" xfId="0"/>
    <xf numFmtId="0" fontId="0" fillId="0" borderId="59" pivotButton="0" quotePrefix="0" xfId="0"/>
    <xf numFmtId="167" fontId="14" fillId="10" borderId="40" pivotButton="0" quotePrefix="0" xfId="3"/>
    <xf numFmtId="167" fontId="0" fillId="0" borderId="59" pivotButton="0" quotePrefix="0" xfId="3"/>
    <xf numFmtId="167" fontId="0" fillId="11" borderId="60" pivotButton="0" quotePrefix="0" xfId="3"/>
    <xf numFmtId="167" fontId="0" fillId="11" borderId="53" pivotButton="0" quotePrefix="0" xfId="3"/>
    <xf numFmtId="167" fontId="0" fillId="11" borderId="52" pivotButton="0" quotePrefix="0" xfId="3"/>
    <xf numFmtId="167" fontId="0" fillId="11" borderId="61" pivotButton="0" quotePrefix="0" xfId="3"/>
    <xf numFmtId="167" fontId="0" fillId="0" borderId="55" pivotButton="0" quotePrefix="0" xfId="3"/>
    <xf numFmtId="0" fontId="0" fillId="0" borderId="55" pivotButton="0" quotePrefix="0" xfId="0"/>
    <xf numFmtId="167" fontId="0" fillId="0" borderId="36" pivotButton="0" quotePrefix="0" xfId="3"/>
    <xf numFmtId="167" fontId="0" fillId="0" borderId="38" pivotButton="0" quotePrefix="0" xfId="3"/>
    <xf numFmtId="167" fontId="0" fillId="0" borderId="34" pivotButton="0" quotePrefix="0" xfId="3"/>
    <xf numFmtId="167" fontId="0" fillId="0" borderId="56" pivotButton="0" quotePrefix="0" xfId="3"/>
    <xf numFmtId="167" fontId="0" fillId="5" borderId="12" applyAlignment="1" pivotButton="0" quotePrefix="0" xfId="3">
      <alignment horizontal="center" vertical="center"/>
    </xf>
    <xf numFmtId="167" fontId="0" fillId="8" borderId="56" applyAlignment="1" pivotButton="0" quotePrefix="0" xfId="3">
      <alignment horizontal="center" vertical="center"/>
    </xf>
    <xf numFmtId="167" fontId="0" fillId="8" borderId="15" applyAlignment="1" pivotButton="0" quotePrefix="0" xfId="3">
      <alignment horizontal="center" vertical="center"/>
    </xf>
    <xf numFmtId="0" fontId="0" fillId="0" borderId="42" pivotButton="0" quotePrefix="0" xfId="0"/>
    <xf numFmtId="0" fontId="0" fillId="0" borderId="32" pivotButton="0" quotePrefix="0" xfId="0"/>
    <xf numFmtId="0" fontId="0" fillId="0" borderId="17" pivotButton="0" quotePrefix="0" xfId="0"/>
    <xf numFmtId="0" fontId="0" fillId="0" borderId="29" pivotButton="0" quotePrefix="0" xfId="0"/>
    <xf numFmtId="167" fontId="0" fillId="0" borderId="0" applyAlignment="1" pivotButton="0" quotePrefix="0" xfId="0">
      <alignment horizontal="left"/>
    </xf>
    <xf numFmtId="167" fontId="2" fillId="0" borderId="0" applyAlignment="1" pivotButton="0" quotePrefix="0" xfId="0">
      <alignment horizontal="left"/>
    </xf>
    <xf numFmtId="167" fontId="0" fillId="8" borderId="34" applyAlignment="1" pivotButton="0" quotePrefix="0" xfId="3">
      <alignment horizontal="center" vertical="center"/>
    </xf>
    <xf numFmtId="167" fontId="0" fillId="0" borderId="42" pivotButton="0" quotePrefix="0" xfId="3"/>
    <xf numFmtId="167" fontId="0" fillId="0" borderId="63" pivotButton="0" quotePrefix="0" xfId="3"/>
    <xf numFmtId="167" fontId="0" fillId="11" borderId="64" pivotButton="0" quotePrefix="0" xfId="3"/>
    <xf numFmtId="167" fontId="0" fillId="0" borderId="13" pivotButton="0" quotePrefix="0" xfId="3"/>
    <xf numFmtId="167" fontId="0" fillId="0" borderId="65" pivotButton="0" quotePrefix="0" xfId="3"/>
    <xf numFmtId="167" fontId="0" fillId="0" borderId="66" pivotButton="0" quotePrefix="0" xfId="3"/>
    <xf numFmtId="0" fontId="21" fillId="0" borderId="5" applyAlignment="1" pivotButton="0" quotePrefix="0" xfId="0">
      <alignment horizontal="left" vertical="top"/>
    </xf>
    <xf numFmtId="0" fontId="23" fillId="0" borderId="5" applyAlignment="1" pivotButton="0" quotePrefix="0" xfId="0">
      <alignment horizontal="center" vertical="top"/>
    </xf>
    <xf numFmtId="0" fontId="24" fillId="0" borderId="0" applyAlignment="1" pivotButton="0" quotePrefix="0" xfId="0">
      <alignment horizontal="center"/>
    </xf>
    <xf numFmtId="0" fontId="25" fillId="0" borderId="5" applyAlignment="1" pivotButton="0" quotePrefix="0" xfId="0">
      <alignment horizontal="center" vertical="top"/>
    </xf>
    <xf numFmtId="1" fontId="25" fillId="0" borderId="6" applyAlignment="1" pivotButton="0" quotePrefix="0" xfId="0">
      <alignment horizontal="center" vertical="top" shrinkToFit="1"/>
    </xf>
    <xf numFmtId="1" fontId="25" fillId="0" borderId="5" applyAlignment="1" pivotButton="0" quotePrefix="0" xfId="0">
      <alignment horizontal="center" vertical="top" shrinkToFit="1"/>
    </xf>
    <xf numFmtId="0" fontId="25" fillId="0" borderId="5" applyAlignment="1" pivotButton="0" quotePrefix="0" xfId="0">
      <alignment horizontal="center" vertical="top" wrapText="1"/>
    </xf>
    <xf numFmtId="0" fontId="0" fillId="0" borderId="0" applyAlignment="1" pivotButton="0" quotePrefix="0" xfId="0">
      <alignment horizontal="left"/>
    </xf>
    <xf numFmtId="1" fontId="21" fillId="0" borderId="5" applyAlignment="1" pivotButton="0" quotePrefix="0" xfId="0">
      <alignment horizontal="left" vertical="top" shrinkToFit="1"/>
    </xf>
    <xf numFmtId="1" fontId="22" fillId="0" borderId="5" applyAlignment="1" pivotButton="0" quotePrefix="0" xfId="0">
      <alignment horizontal="left" vertical="top" shrinkToFit="1"/>
    </xf>
    <xf numFmtId="0" fontId="24" fillId="0" borderId="0" pivotButton="0" quotePrefix="0" xfId="0"/>
    <xf numFmtId="0" fontId="28" fillId="0" borderId="7" applyAlignment="1" pivotButton="0" quotePrefix="0" xfId="0">
      <alignment horizontal="left" vertical="top"/>
    </xf>
    <xf numFmtId="0" fontId="28" fillId="0" borderId="30" applyAlignment="1" pivotButton="0" quotePrefix="0" xfId="0">
      <alignment horizontal="left" vertical="top"/>
    </xf>
    <xf numFmtId="0" fontId="28" fillId="0" borderId="67" applyAlignment="1" pivotButton="0" quotePrefix="0" xfId="0">
      <alignment horizontal="left" vertical="top"/>
    </xf>
    <xf numFmtId="0" fontId="24" fillId="0" borderId="0" applyAlignment="1" pivotButton="0" quotePrefix="0" xfId="0">
      <alignment wrapText="1"/>
    </xf>
    <xf numFmtId="0" fontId="24" fillId="0" borderId="0" applyAlignment="1" pivotButton="0" quotePrefix="0" xfId="0">
      <alignment vertical="top"/>
    </xf>
    <xf numFmtId="0" fontId="27" fillId="0" borderId="70" applyAlignment="1" pivotButton="0" quotePrefix="0" xfId="0">
      <alignment horizontal="left" vertical="top"/>
    </xf>
    <xf numFmtId="0" fontId="27" fillId="0" borderId="71" applyAlignment="1" pivotButton="0" quotePrefix="0" xfId="0">
      <alignment horizontal="left" vertical="top"/>
    </xf>
    <xf numFmtId="0" fontId="27" fillId="0" borderId="72" applyAlignment="1" pivotButton="0" quotePrefix="0" xfId="0">
      <alignment horizontal="left" vertical="top"/>
    </xf>
    <xf numFmtId="0" fontId="28" fillId="0" borderId="77" applyAlignment="1" pivotButton="0" quotePrefix="0" xfId="0">
      <alignment horizontal="left" vertical="top"/>
    </xf>
    <xf numFmtId="0" fontId="28" fillId="0" borderId="78" applyAlignment="1" pivotButton="0" quotePrefix="0" xfId="0">
      <alignment horizontal="left" vertical="top"/>
    </xf>
    <xf numFmtId="0" fontId="24" fillId="0" borderId="79" applyAlignment="1" pivotButton="0" quotePrefix="0" xfId="0">
      <alignment horizontal="left" vertical="top"/>
    </xf>
    <xf numFmtId="0" fontId="24" fillId="0" borderId="80" applyAlignment="1" pivotButton="0" quotePrefix="0" xfId="0">
      <alignment horizontal="left" vertical="top"/>
    </xf>
    <xf numFmtId="0" fontId="14" fillId="12" borderId="0" pivotButton="0" quotePrefix="0" xfId="0"/>
    <xf numFmtId="0" fontId="24" fillId="12" borderId="0" pivotButton="0" quotePrefix="0" xfId="0"/>
    <xf numFmtId="0" fontId="26" fillId="6" borderId="0" pivotButton="0" quotePrefix="0" xfId="2"/>
    <xf numFmtId="0" fontId="24" fillId="6" borderId="0" pivotButton="0" quotePrefix="0" xfId="2"/>
    <xf numFmtId="0" fontId="24" fillId="6" borderId="0" applyAlignment="1" pivotButton="0" quotePrefix="0" xfId="2">
      <alignment wrapText="1"/>
    </xf>
    <xf numFmtId="0" fontId="0" fillId="0" borderId="53" pivotButton="0" quotePrefix="0" xfId="0"/>
    <xf numFmtId="164" fontId="0" fillId="0" borderId="53" pivotButton="0" quotePrefix="0" xfId="0"/>
    <xf numFmtId="164" fontId="0" fillId="0" borderId="61" pivotButton="0" quotePrefix="0" xfId="0"/>
    <xf numFmtId="167" fontId="0" fillId="5" borderId="53" applyAlignment="1" pivotButton="0" quotePrefix="0" xfId="3">
      <alignment horizontal="center" vertical="center"/>
    </xf>
    <xf numFmtId="0" fontId="3" fillId="3" borderId="27" applyAlignment="1" pivotButton="0" quotePrefix="0" xfId="0">
      <alignment horizontal="left" vertical="top" wrapText="1"/>
    </xf>
    <xf numFmtId="0" fontId="3" fillId="3" borderId="2" applyAlignment="1" pivotButton="0" quotePrefix="0" xfId="0">
      <alignment horizontal="left" vertical="top" wrapText="1"/>
    </xf>
    <xf numFmtId="0" fontId="3" fillId="3" borderId="12" applyAlignment="1" pivotButton="0" quotePrefix="0" xfId="0">
      <alignment horizontal="left" vertical="top" wrapText="1"/>
    </xf>
    <xf numFmtId="0" fontId="0" fillId="0" borderId="0" applyAlignment="1" pivotButton="0" quotePrefix="0" xfId="0">
      <alignment horizontal="center"/>
    </xf>
    <xf numFmtId="0" fontId="7" fillId="0" borderId="27" applyAlignment="1" pivotButton="0" quotePrefix="0" xfId="0">
      <alignment horizontal="center" vertical="top" wrapText="1"/>
    </xf>
    <xf numFmtId="0" fontId="7" fillId="0" borderId="2" applyAlignment="1" pivotButton="0" quotePrefix="0" xfId="0">
      <alignment horizontal="center" vertical="top" wrapText="1"/>
    </xf>
    <xf numFmtId="0" fontId="7" fillId="0" borderId="12" applyAlignment="1" pivotButton="0" quotePrefix="0" xfId="0">
      <alignment horizontal="center" vertical="top" wrapText="1"/>
    </xf>
    <xf numFmtId="0" fontId="3" fillId="3" borderId="19" applyAlignment="1" pivotButton="0" quotePrefix="0" xfId="0">
      <alignment horizontal="left" vertical="top" wrapText="1"/>
    </xf>
    <xf numFmtId="0" fontId="3" fillId="3" borderId="14" applyAlignment="1" pivotButton="0" quotePrefix="0" xfId="0">
      <alignment horizontal="left" vertical="top" wrapText="1"/>
    </xf>
    <xf numFmtId="0" fontId="3" fillId="3" borderId="15" applyAlignment="1" pivotButton="0" quotePrefix="0" xfId="0">
      <alignment horizontal="left" vertical="top" wrapText="1"/>
    </xf>
    <xf numFmtId="0" fontId="5" fillId="7" borderId="27" applyAlignment="1" pivotButton="0" quotePrefix="0" xfId="0">
      <alignment horizontal="center" vertical="top" wrapText="1"/>
    </xf>
    <xf numFmtId="0" fontId="5" fillId="7" borderId="2" applyAlignment="1" pivotButton="0" quotePrefix="0" xfId="0">
      <alignment horizontal="center" vertical="top" wrapText="1"/>
    </xf>
    <xf numFmtId="0" fontId="5" fillId="7" borderId="12" applyAlignment="1" pivotButton="0" quotePrefix="0" xfId="0">
      <alignment horizontal="center" vertical="top" wrapText="1"/>
    </xf>
    <xf numFmtId="0" fontId="5" fillId="7" borderId="16" applyAlignment="1" pivotButton="0" quotePrefix="0" xfId="0">
      <alignment horizontal="center" vertical="top" wrapText="1"/>
    </xf>
    <xf numFmtId="0" fontId="5" fillId="7" borderId="23" applyAlignment="1" pivotButton="0" quotePrefix="0" xfId="0">
      <alignment horizontal="center" vertical="top" wrapText="1"/>
    </xf>
    <xf numFmtId="0" fontId="5" fillId="7" borderId="24" applyAlignment="1" pivotButton="0" quotePrefix="0" xfId="0">
      <alignment horizontal="center" vertical="top" wrapText="1"/>
    </xf>
    <xf numFmtId="0" fontId="5" fillId="7" borderId="17" applyAlignment="1" pivotButton="0" quotePrefix="0" xfId="0">
      <alignment horizontal="center" vertical="top" wrapText="1"/>
    </xf>
    <xf numFmtId="0" fontId="5" fillId="7" borderId="0" applyAlignment="1" pivotButton="0" quotePrefix="0" xfId="0">
      <alignment horizontal="center" vertical="top" wrapText="1"/>
    </xf>
    <xf numFmtId="0" fontId="5" fillId="7" borderId="18" applyAlignment="1" pivotButton="0" quotePrefix="0" xfId="0">
      <alignment horizontal="center" vertical="top" wrapText="1"/>
    </xf>
    <xf numFmtId="0" fontId="9" fillId="9" borderId="26" applyAlignment="1" pivotButton="0" quotePrefix="0" xfId="0">
      <alignment horizontal="center" vertical="center" wrapText="1"/>
    </xf>
    <xf numFmtId="0" fontId="9" fillId="9" borderId="9" applyAlignment="1" pivotButton="0" quotePrefix="0" xfId="0">
      <alignment horizontal="center" vertical="center" wrapText="1"/>
    </xf>
    <xf numFmtId="0" fontId="9" fillId="9" borderId="10" applyAlignment="1" pivotButton="0" quotePrefix="0" xfId="0">
      <alignment horizontal="center" vertical="center" wrapText="1"/>
    </xf>
    <xf numFmtId="0" fontId="7" fillId="0" borderId="19" applyAlignment="1" pivotButton="0" quotePrefix="0" xfId="0">
      <alignment horizontal="center" vertical="top" wrapText="1"/>
    </xf>
    <xf numFmtId="0" fontId="7" fillId="0" borderId="14" applyAlignment="1" pivotButton="0" quotePrefix="0" xfId="0">
      <alignment horizontal="center" vertical="top" wrapText="1"/>
    </xf>
    <xf numFmtId="0" fontId="7" fillId="0" borderId="15" applyAlignment="1" pivotButton="0" quotePrefix="0" xfId="0">
      <alignment horizontal="center" vertical="top" wrapText="1"/>
    </xf>
    <xf numFmtId="0" fontId="5" fillId="0" borderId="11" applyAlignment="1" pivotButton="0" quotePrefix="0" xfId="0">
      <alignment horizontal="center" vertical="center" wrapText="1"/>
    </xf>
    <xf numFmtId="0" fontId="5" fillId="0" borderId="13" applyAlignment="1" pivotButton="0" quotePrefix="0" xfId="0">
      <alignment horizontal="center" vertical="center" wrapText="1"/>
    </xf>
    <xf numFmtId="0" fontId="5" fillId="0" borderId="8" applyAlignment="1" pivotButton="0" quotePrefix="0" xfId="0">
      <alignment horizontal="center" vertical="center" wrapText="1"/>
    </xf>
    <xf numFmtId="0" fontId="4" fillId="0" borderId="11" applyAlignment="1" pivotButton="0" quotePrefix="0" xfId="0">
      <alignment horizontal="right" vertical="top" wrapText="1"/>
    </xf>
    <xf numFmtId="0" fontId="4" fillId="0" borderId="13" applyAlignment="1" pivotButton="0" quotePrefix="0" xfId="0">
      <alignment horizontal="right" vertical="top" wrapText="1"/>
    </xf>
    <xf numFmtId="0" fontId="0" fillId="0" borderId="17" pivotButton="0" quotePrefix="0" xfId="0"/>
    <xf numFmtId="0" fontId="0" fillId="0" borderId="29" pivotButton="0" quotePrefix="0" xfId="0"/>
    <xf numFmtId="0" fontId="0" fillId="0" borderId="42" pivotButton="0" quotePrefix="0" xfId="0"/>
    <xf numFmtId="0" fontId="0" fillId="0" borderId="32" pivotButton="0" quotePrefix="0" xfId="0"/>
    <xf numFmtId="0" fontId="15" fillId="0" borderId="16" applyAlignment="1" pivotButton="0" quotePrefix="0" xfId="0">
      <alignment horizontal="center" vertical="center"/>
    </xf>
    <xf numFmtId="0" fontId="15" fillId="0" borderId="25" applyAlignment="1" pivotButton="0" quotePrefix="0" xfId="0">
      <alignment horizontal="center" vertical="center"/>
    </xf>
    <xf numFmtId="0" fontId="15" fillId="0" borderId="42" applyAlignment="1" pivotButton="0" quotePrefix="0" xfId="0">
      <alignment horizontal="center" vertical="center"/>
    </xf>
    <xf numFmtId="0" fontId="15" fillId="0" borderId="32" applyAlignment="1" pivotButton="0" quotePrefix="0" xfId="0">
      <alignment horizontal="center" vertical="center"/>
    </xf>
    <xf numFmtId="0" fontId="0" fillId="0" borderId="16" pivotButton="0" quotePrefix="0" xfId="0"/>
    <xf numFmtId="0" fontId="0" fillId="0" borderId="25" pivotButton="0" quotePrefix="0" xfId="0"/>
    <xf numFmtId="0" fontId="0" fillId="0" borderId="0" pivotButton="0" quotePrefix="0" xfId="0"/>
    <xf numFmtId="0" fontId="2" fillId="0" borderId="43" applyAlignment="1" pivotButton="0" quotePrefix="0" xfId="0">
      <alignment horizontal="left"/>
    </xf>
    <xf numFmtId="0" fontId="2" fillId="0" borderId="31" applyAlignment="1" pivotButton="0" quotePrefix="0" xfId="0">
      <alignment horizontal="left"/>
    </xf>
    <xf numFmtId="0" fontId="0" fillId="0" borderId="29" applyAlignment="1" pivotButton="0" quotePrefix="0" xfId="0">
      <alignment horizontal="center"/>
    </xf>
    <xf numFmtId="0" fontId="14" fillId="10" borderId="39" pivotButton="0" quotePrefix="0" xfId="0"/>
    <xf numFmtId="0" fontId="14" fillId="10" borderId="62" pivotButton="0" quotePrefix="0" xfId="0"/>
    <xf numFmtId="0" fontId="2" fillId="0" borderId="16" applyAlignment="1" pivotButton="0" quotePrefix="0" xfId="0">
      <alignment horizontal="center"/>
    </xf>
    <xf numFmtId="0" fontId="2" fillId="0" borderId="23" applyAlignment="1" pivotButton="0" quotePrefix="0" xfId="0">
      <alignment horizontal="center"/>
    </xf>
    <xf numFmtId="0" fontId="2" fillId="0" borderId="25" applyAlignment="1" pivotButton="0" quotePrefix="0" xfId="0">
      <alignment horizontal="center"/>
    </xf>
    <xf numFmtId="0" fontId="13" fillId="0" borderId="0" applyAlignment="1" pivotButton="0" quotePrefix="0" xfId="0">
      <alignment horizontal="center" vertical="center"/>
    </xf>
    <xf numFmtId="0" fontId="2" fillId="5" borderId="39" applyAlignment="1" pivotButton="0" quotePrefix="0" xfId="0">
      <alignment horizontal="center" vertical="center"/>
    </xf>
    <xf numFmtId="0" fontId="2" fillId="5" borderId="62" applyAlignment="1" pivotButton="0" quotePrefix="0" xfId="0">
      <alignment horizontal="center" vertical="center"/>
    </xf>
    <xf numFmtId="0" fontId="16" fillId="2" borderId="0" applyAlignment="1" pivotButton="0" quotePrefix="0" xfId="0">
      <alignment horizontal="center" vertical="center" wrapText="1"/>
    </xf>
    <xf numFmtId="0" fontId="16" fillId="2" borderId="29" applyAlignment="1" pivotButton="0" quotePrefix="0" xfId="0">
      <alignment horizontal="center" vertical="center" wrapText="1"/>
    </xf>
    <xf numFmtId="0" fontId="2" fillId="0" borderId="33" applyAlignment="1" pivotButton="0" quotePrefix="0" xfId="0">
      <alignment horizontal="left"/>
    </xf>
    <xf numFmtId="0" fontId="0" fillId="0" borderId="17" applyAlignment="1" pivotButton="0" quotePrefix="0" xfId="0">
      <alignment horizontal="left"/>
    </xf>
    <xf numFmtId="0" fontId="0" fillId="0" borderId="29" applyAlignment="1" pivotButton="0" quotePrefix="0" xfId="0">
      <alignment horizontal="left"/>
    </xf>
    <xf numFmtId="0" fontId="0" fillId="0" borderId="39" pivotButton="0" quotePrefix="0" xfId="0"/>
    <xf numFmtId="0" fontId="0" fillId="0" borderId="62" pivotButton="0" quotePrefix="0" xfId="0"/>
    <xf numFmtId="0" fontId="16" fillId="2" borderId="17" applyAlignment="1" pivotButton="0" quotePrefix="0" xfId="0">
      <alignment horizontal="center" vertical="center" wrapText="1"/>
    </xf>
    <xf numFmtId="0" fontId="13" fillId="0" borderId="0" applyAlignment="1" pivotButton="0" quotePrefix="0" xfId="0">
      <alignment horizontal="center" vertical="center" wrapText="1"/>
    </xf>
    <xf numFmtId="2" fontId="28" fillId="0" borderId="7" applyAlignment="1" pivotButton="0" quotePrefix="0" xfId="0">
      <alignment horizontal="center" vertical="top" shrinkToFit="1"/>
    </xf>
    <xf numFmtId="2" fontId="28" fillId="0" borderId="30" applyAlignment="1" pivotButton="0" quotePrefix="0" xfId="0">
      <alignment horizontal="center" vertical="top" shrinkToFit="1"/>
    </xf>
    <xf numFmtId="2" fontId="28" fillId="0" borderId="67" applyAlignment="1" pivotButton="0" quotePrefix="0" xfId="0">
      <alignment horizontal="center" vertical="top" shrinkToFit="1"/>
    </xf>
    <xf numFmtId="0" fontId="28" fillId="0" borderId="7" applyAlignment="1" pivotButton="0" quotePrefix="0" xfId="0">
      <alignment horizontal="center" vertical="top" wrapText="1"/>
    </xf>
    <xf numFmtId="0" fontId="28" fillId="0" borderId="30" applyAlignment="1" pivotButton="0" quotePrefix="0" xfId="0">
      <alignment horizontal="center" vertical="top" wrapText="1"/>
    </xf>
    <xf numFmtId="0" fontId="28" fillId="0" borderId="67" applyAlignment="1" pivotButton="0" quotePrefix="0" xfId="0">
      <alignment horizontal="center" vertical="top" wrapText="1"/>
    </xf>
    <xf numFmtId="2" fontId="28" fillId="0" borderId="74" applyAlignment="1" pivotButton="0" quotePrefix="0" xfId="0">
      <alignment horizontal="center" vertical="top" shrinkToFit="1"/>
    </xf>
    <xf numFmtId="2" fontId="28" fillId="0" borderId="75" applyAlignment="1" pivotButton="0" quotePrefix="0" xfId="0">
      <alignment horizontal="center" vertical="top" shrinkToFit="1"/>
    </xf>
    <xf numFmtId="2" fontId="28" fillId="0" borderId="76" applyAlignment="1" pivotButton="0" quotePrefix="0" xfId="0">
      <alignment horizontal="center" vertical="top" shrinkToFit="1"/>
    </xf>
    <xf numFmtId="1" fontId="28" fillId="0" borderId="7" applyAlignment="1" pivotButton="0" quotePrefix="0" xfId="0">
      <alignment horizontal="center" vertical="top" shrinkToFit="1"/>
    </xf>
    <xf numFmtId="1" fontId="28" fillId="0" borderId="30" applyAlignment="1" pivotButton="0" quotePrefix="0" xfId="0">
      <alignment horizontal="center" vertical="top" shrinkToFit="1"/>
    </xf>
    <xf numFmtId="1" fontId="28" fillId="0" borderId="67" applyAlignment="1" pivotButton="0" quotePrefix="0" xfId="0">
      <alignment horizontal="center" vertical="top" shrinkToFit="1"/>
    </xf>
    <xf numFmtId="1" fontId="28" fillId="0" borderId="81" applyAlignment="1" pivotButton="0" quotePrefix="0" xfId="0">
      <alignment horizontal="center" vertical="top" shrinkToFit="1"/>
    </xf>
    <xf numFmtId="0" fontId="28" fillId="0" borderId="73" applyAlignment="1" pivotButton="0" quotePrefix="0" xfId="0">
      <alignment horizontal="left" vertical="top"/>
    </xf>
    <xf numFmtId="0" fontId="24" fillId="0" borderId="73" applyAlignment="1" pivotButton="0" quotePrefix="0" xfId="0">
      <alignment horizontal="left" vertical="top"/>
    </xf>
    <xf numFmtId="1" fontId="28" fillId="0" borderId="77" applyAlignment="1" pivotButton="0" quotePrefix="0" xfId="0">
      <alignment horizontal="center" vertical="top" shrinkToFit="1"/>
    </xf>
    <xf numFmtId="1" fontId="28" fillId="0" borderId="78" applyAlignment="1" pivotButton="0" quotePrefix="0" xfId="0">
      <alignment horizontal="center" vertical="top" shrinkToFit="1"/>
    </xf>
    <xf numFmtId="1" fontId="28" fillId="0" borderId="79" applyAlignment="1" pivotButton="0" quotePrefix="0" xfId="0">
      <alignment horizontal="center" vertical="top" shrinkToFit="1"/>
    </xf>
    <xf numFmtId="0" fontId="26" fillId="0" borderId="69" applyAlignment="1" pivotButton="0" quotePrefix="0" xfId="0">
      <alignment horizontal="center" wrapText="1"/>
    </xf>
    <xf numFmtId="0" fontId="26" fillId="0" borderId="0" applyAlignment="1" pivotButton="0" quotePrefix="0" xfId="0">
      <alignment horizontal="center" wrapText="1"/>
    </xf>
    <xf numFmtId="0" fontId="26" fillId="0" borderId="0" applyAlignment="1" pivotButton="0" quotePrefix="0" xfId="0">
      <alignment horizontal="center"/>
    </xf>
    <xf numFmtId="0" fontId="2" fillId="0" borderId="68" applyAlignment="1" pivotButton="0" quotePrefix="0" xfId="0">
      <alignment horizontal="center"/>
    </xf>
    <xf numFmtId="0" fontId="24" fillId="6" borderId="0" applyAlignment="1" pivotButton="0" quotePrefix="0" xfId="2">
      <alignment horizontal="left" vertical="top" wrapText="1"/>
    </xf>
    <xf numFmtId="0" fontId="0" fillId="0" borderId="43" pivotButton="0" quotePrefix="0" xfId="0"/>
    <xf numFmtId="0" fontId="0" fillId="0" borderId="82" pivotButton="0" quotePrefix="0" xfId="0"/>
    <xf numFmtId="0" fontId="0" fillId="0" borderId="44" pivotButton="0" quotePrefix="0" xfId="0"/>
    <xf numFmtId="0" fontId="0" fillId="0" borderId="4" pivotButton="0" quotePrefix="0" xfId="0"/>
    <xf numFmtId="0" fontId="0" fillId="0" borderId="84" pivotButton="0" quotePrefix="0" xfId="0"/>
    <xf numFmtId="0" fontId="0" fillId="0" borderId="57" pivotButton="0" quotePrefix="0" xfId="0"/>
    <xf numFmtId="166" fontId="4" fillId="4" borderId="3" applyAlignment="1" pivotButton="0" quotePrefix="0" xfId="0">
      <alignment horizontal="center" vertical="top" wrapText="1"/>
    </xf>
    <xf numFmtId="0" fontId="0" fillId="0" borderId="11" pivotButton="0" quotePrefix="0" xfId="0"/>
    <xf numFmtId="166" fontId="4" fillId="4" borderId="2" applyAlignment="1" pivotButton="0" quotePrefix="0" xfId="0">
      <alignment horizontal="center" vertical="top" wrapText="1"/>
    </xf>
    <xf numFmtId="0" fontId="0" fillId="0" borderId="13" pivotButton="0" quotePrefix="0" xfId="0"/>
    <xf numFmtId="166" fontId="4" fillId="4" borderId="14" applyAlignment="1" pivotButton="0" quotePrefix="0" xfId="0">
      <alignment horizontal="center" vertical="top" wrapText="1"/>
    </xf>
    <xf numFmtId="166" fontId="4" fillId="4" borderId="9" applyAlignment="1" pivotButton="0" quotePrefix="0" xfId="0">
      <alignment horizontal="center" vertical="top" wrapText="1"/>
    </xf>
    <xf numFmtId="0" fontId="5" fillId="0" borderId="40" applyAlignment="1" pivotButton="0" quotePrefix="0" xfId="0">
      <alignment horizontal="center" vertical="center" wrapText="1"/>
    </xf>
    <xf numFmtId="166" fontId="4" fillId="4" borderId="20" applyAlignment="1" pivotButton="0" quotePrefix="0" xfId="0">
      <alignment horizontal="center" vertical="top" wrapText="1"/>
    </xf>
    <xf numFmtId="0" fontId="5" fillId="7" borderId="8" applyAlignment="1" pivotButton="0" quotePrefix="0" xfId="0">
      <alignment horizontal="center" vertical="top" wrapText="1"/>
    </xf>
    <xf numFmtId="0" fontId="0" fillId="0" borderId="23" pivotButton="0" quotePrefix="0" xfId="0"/>
    <xf numFmtId="0" fontId="0" fillId="0" borderId="24" pivotButton="0" quotePrefix="0" xfId="0"/>
    <xf numFmtId="166" fontId="0" fillId="0" borderId="31" pivotButton="0" quotePrefix="0" xfId="0"/>
    <xf numFmtId="166" fontId="0" fillId="0" borderId="28" pivotButton="0" quotePrefix="0" xfId="0"/>
    <xf numFmtId="166" fontId="0" fillId="0" borderId="32" pivotButton="0" quotePrefix="0" xfId="0"/>
    <xf numFmtId="0" fontId="5" fillId="7" borderId="11" applyAlignment="1" pivotButton="0" quotePrefix="0" xfId="0">
      <alignment horizontal="center" vertical="top" wrapText="1"/>
    </xf>
    <xf numFmtId="0" fontId="0" fillId="0" borderId="18" pivotButton="0" quotePrefix="0" xfId="0"/>
    <xf numFmtId="167" fontId="0" fillId="0" borderId="0" applyAlignment="1" pivotButton="0" quotePrefix="0" xfId="0">
      <alignment horizontal="left"/>
    </xf>
    <xf numFmtId="167" fontId="2" fillId="0" borderId="0" applyAlignment="1" pivotButton="0" quotePrefix="0" xfId="0">
      <alignment horizontal="left"/>
    </xf>
    <xf numFmtId="0" fontId="2" fillId="0" borderId="85" applyAlignment="1" pivotButton="0" quotePrefix="0" xfId="0">
      <alignment horizontal="center"/>
    </xf>
    <xf numFmtId="0" fontId="15" fillId="0" borderId="49" applyAlignment="1" pivotButton="0" quotePrefix="0" xfId="0">
      <alignment horizontal="center" vertical="center"/>
    </xf>
    <xf numFmtId="0" fontId="2" fillId="0" borderId="86" applyAlignment="1" pivotButton="0" quotePrefix="0" xfId="0">
      <alignment horizontal="left"/>
    </xf>
    <xf numFmtId="0" fontId="0" fillId="0" borderId="31" pivotButton="0" quotePrefix="0" xfId="0"/>
    <xf numFmtId="0" fontId="2" fillId="5" borderId="49" applyAlignment="1" pivotButton="0" quotePrefix="0" xfId="0">
      <alignment horizontal="center" vertical="center"/>
    </xf>
    <xf numFmtId="167" fontId="0" fillId="5" borderId="38" applyAlignment="1" pivotButton="0" quotePrefix="0" xfId="3">
      <alignment horizontal="center" vertical="center"/>
    </xf>
    <xf numFmtId="167" fontId="0" fillId="5" borderId="12" applyAlignment="1" pivotButton="0" quotePrefix="0" xfId="3">
      <alignment horizontal="center" vertical="center"/>
    </xf>
    <xf numFmtId="167" fontId="0" fillId="2" borderId="34" applyAlignment="1" pivotButton="0" quotePrefix="0" xfId="3">
      <alignment horizontal="center" vertical="center"/>
    </xf>
    <xf numFmtId="167" fontId="0" fillId="8" borderId="50" applyAlignment="1" pivotButton="0" quotePrefix="0" xfId="3">
      <alignment horizontal="center" vertical="center"/>
    </xf>
    <xf numFmtId="167" fontId="0" fillId="8" borderId="35" applyAlignment="1" pivotButton="0" quotePrefix="0" xfId="3">
      <alignment horizontal="center" vertical="center"/>
    </xf>
    <xf numFmtId="167" fontId="0" fillId="8" borderId="45" applyAlignment="1" pivotButton="0" quotePrefix="0" xfId="3">
      <alignment horizontal="center" vertical="center"/>
    </xf>
    <xf numFmtId="167" fontId="0" fillId="8" borderId="56" applyAlignment="1" pivotButton="0" quotePrefix="0" xfId="3">
      <alignment horizontal="center" vertical="center"/>
    </xf>
    <xf numFmtId="167" fontId="0" fillId="8" borderId="15" applyAlignment="1" pivotButton="0" quotePrefix="0" xfId="3">
      <alignment horizontal="center" vertical="center"/>
    </xf>
    <xf numFmtId="0" fontId="14" fillId="10" borderId="49" pivotButton="0" quotePrefix="0" xfId="0"/>
    <xf numFmtId="167" fontId="14" fillId="10" borderId="49" pivotButton="0" quotePrefix="0" xfId="3"/>
    <xf numFmtId="167" fontId="14" fillId="10" borderId="39" pivotButton="0" quotePrefix="0" xfId="3"/>
    <xf numFmtId="167" fontId="14" fillId="10" borderId="41" pivotButton="0" quotePrefix="0" xfId="3"/>
    <xf numFmtId="167" fontId="14" fillId="10" borderId="46" pivotButton="0" quotePrefix="0" xfId="3"/>
    <xf numFmtId="167" fontId="14" fillId="10" borderId="58" pivotButton="0" quotePrefix="0" xfId="3"/>
    <xf numFmtId="167" fontId="14" fillId="10" borderId="40" pivotButton="0" quotePrefix="0" xfId="3"/>
    <xf numFmtId="167" fontId="0" fillId="11" borderId="60" pivotButton="0" quotePrefix="0" xfId="3"/>
    <xf numFmtId="167" fontId="0" fillId="0" borderId="37" pivotButton="0" quotePrefix="0" xfId="3"/>
    <xf numFmtId="167" fontId="0" fillId="0" borderId="22" pivotButton="0" quotePrefix="0" xfId="3"/>
    <xf numFmtId="167" fontId="0" fillId="0" borderId="47" pivotButton="0" quotePrefix="0" xfId="3"/>
    <xf numFmtId="167" fontId="0" fillId="0" borderId="54" pivotButton="0" quotePrefix="0" xfId="3"/>
    <xf numFmtId="167" fontId="0" fillId="0" borderId="36" pivotButton="0" quotePrefix="0" xfId="3"/>
    <xf numFmtId="167" fontId="0" fillId="11" borderId="53" pivotButton="0" quotePrefix="0" xfId="3"/>
    <xf numFmtId="167" fontId="0" fillId="0" borderId="27" pivotButton="0" quotePrefix="0" xfId="3"/>
    <xf numFmtId="167" fontId="0" fillId="0" borderId="12" pivotButton="0" quotePrefix="0" xfId="3"/>
    <xf numFmtId="167" fontId="0" fillId="0" borderId="4" pivotButton="0" quotePrefix="0" xfId="3"/>
    <xf numFmtId="167" fontId="0" fillId="0" borderId="1" pivotButton="0" quotePrefix="0" xfId="3"/>
    <xf numFmtId="167" fontId="0" fillId="0" borderId="38" pivotButton="0" quotePrefix="0" xfId="3"/>
    <xf numFmtId="167" fontId="0" fillId="11" borderId="52" pivotButton="0" quotePrefix="0" xfId="3"/>
    <xf numFmtId="167" fontId="0" fillId="0" borderId="50" pivotButton="0" quotePrefix="0" xfId="3"/>
    <xf numFmtId="167" fontId="0" fillId="0" borderId="35" pivotButton="0" quotePrefix="0" xfId="3"/>
    <xf numFmtId="167" fontId="0" fillId="0" borderId="59" pivotButton="0" quotePrefix="0" xfId="3"/>
    <xf numFmtId="167" fontId="0" fillId="0" borderId="55" pivotButton="0" quotePrefix="0" xfId="3"/>
    <xf numFmtId="167" fontId="0" fillId="0" borderId="34" pivotButton="0" quotePrefix="0" xfId="3"/>
    <xf numFmtId="167" fontId="14" fillId="10" borderId="48" pivotButton="0" quotePrefix="0" xfId="3"/>
    <xf numFmtId="0" fontId="0" fillId="0" borderId="85" pivotButton="0" quotePrefix="0" xfId="0"/>
    <xf numFmtId="0" fontId="0" fillId="0" borderId="87" pivotButton="0" quotePrefix="0" xfId="0"/>
    <xf numFmtId="0" fontId="0" fillId="0" borderId="64" pivotButton="0" quotePrefix="0" xfId="0"/>
    <xf numFmtId="167" fontId="0" fillId="11" borderId="61" pivotButton="0" quotePrefix="0" xfId="3"/>
    <xf numFmtId="167" fontId="0" fillId="0" borderId="19" pivotButton="0" quotePrefix="0" xfId="3"/>
    <xf numFmtId="167" fontId="0" fillId="0" borderId="15" pivotButton="0" quotePrefix="0" xfId="3"/>
    <xf numFmtId="167" fontId="0" fillId="0" borderId="57" pivotButton="0" quotePrefix="0" xfId="3"/>
    <xf numFmtId="167" fontId="0" fillId="0" borderId="51" pivotButton="0" quotePrefix="0" xfId="3"/>
    <xf numFmtId="167" fontId="0" fillId="0" borderId="56" pivotButton="0" quotePrefix="0" xfId="3"/>
    <xf numFmtId="167" fontId="0" fillId="5" borderId="53" applyAlignment="1" pivotButton="0" quotePrefix="0" xfId="3">
      <alignment horizontal="center" vertical="center"/>
    </xf>
    <xf numFmtId="0" fontId="16" fillId="2" borderId="87" applyAlignment="1" pivotButton="0" quotePrefix="0" xfId="0">
      <alignment horizontal="center" vertical="center" wrapText="1"/>
    </xf>
    <xf numFmtId="167" fontId="0" fillId="8" borderId="34" applyAlignment="1" pivotButton="0" quotePrefix="0" xfId="3">
      <alignment horizontal="center" vertical="center"/>
    </xf>
    <xf numFmtId="0" fontId="0" fillId="0" borderId="87" applyAlignment="1" pivotButton="0" quotePrefix="0" xfId="0">
      <alignment horizontal="left"/>
    </xf>
    <xf numFmtId="0" fontId="0" fillId="0" borderId="49" pivotButton="0" quotePrefix="0" xfId="0"/>
    <xf numFmtId="167" fontId="0" fillId="11" borderId="64" pivotButton="0" quotePrefix="0" xfId="3"/>
    <xf numFmtId="167" fontId="0" fillId="0" borderId="13" pivotButton="0" quotePrefix="0" xfId="3"/>
    <xf numFmtId="167" fontId="0" fillId="0" borderId="63" pivotButton="0" quotePrefix="0" xfId="3"/>
    <xf numFmtId="167" fontId="0" fillId="0" borderId="65" pivotButton="0" quotePrefix="0" xfId="3"/>
    <xf numFmtId="167" fontId="0" fillId="0" borderId="66" pivotButton="0" quotePrefix="0" xfId="3"/>
    <xf numFmtId="167" fontId="0" fillId="0" borderId="42" pivotButton="0" quotePrefix="0" xfId="3"/>
    <xf numFmtId="1" fontId="28" fillId="0" borderId="5" applyAlignment="1" pivotButton="0" quotePrefix="0" xfId="0">
      <alignment horizontal="center" vertical="top" shrinkToFit="1"/>
    </xf>
    <xf numFmtId="2" fontId="28" fillId="0" borderId="5" applyAlignment="1" pivotButton="0" quotePrefix="0" xfId="0">
      <alignment horizontal="center" vertical="top" shrinkToFit="1"/>
    </xf>
    <xf numFmtId="2" fontId="28" fillId="0" borderId="90" applyAlignment="1" pivotButton="0" quotePrefix="0" xfId="0">
      <alignment horizontal="center" vertical="top" shrinkToFit="1"/>
    </xf>
    <xf numFmtId="1" fontId="28" fillId="0" borderId="73" applyAlignment="1" pivotButton="0" quotePrefix="0" xfId="0">
      <alignment horizontal="center" vertical="top" shrinkToFit="1"/>
    </xf>
    <xf numFmtId="0" fontId="0" fillId="0" borderId="78" pivotButton="0" quotePrefix="0" xfId="0"/>
    <xf numFmtId="0" fontId="0" fillId="0" borderId="30" pivotButton="0" quotePrefix="0" xfId="0"/>
    <xf numFmtId="0" fontId="0" fillId="0" borderId="75" pivotButton="0" quotePrefix="0" xfId="0"/>
    <xf numFmtId="0" fontId="0" fillId="0" borderId="79" pivotButton="0" quotePrefix="0" xfId="0"/>
    <xf numFmtId="0" fontId="0" fillId="0" borderId="67" pivotButton="0" quotePrefix="0" xfId="0"/>
    <xf numFmtId="0" fontId="0" fillId="0" borderId="76" pivotButton="0" quotePrefix="0" xfId="0"/>
    <xf numFmtId="0" fontId="28" fillId="0" borderId="5" applyAlignment="1" pivotButton="0" quotePrefix="0" xfId="0">
      <alignment horizontal="center" vertical="top" wrapText="1"/>
    </xf>
    <xf numFmtId="1" fontId="28" fillId="0" borderId="91" applyAlignment="1" pivotButton="0" quotePrefix="0" xfId="0">
      <alignment horizontal="center" vertical="top" shrinkToFit="1"/>
    </xf>
    <xf numFmtId="0" fontId="0" fillId="0" borderId="81" pivotButton="0" quotePrefix="0" xfId="0"/>
    <xf numFmtId="0" fontId="0" fillId="0" borderId="68" pivotButton="0" quotePrefix="0" xfId="0"/>
    <xf numFmtId="0" fontId="12" fillId="0" borderId="87" pivotButton="0" quotePrefix="0" xfId="0"/>
    <xf numFmtId="0" fontId="12" fillId="0" borderId="25" pivotButton="0" quotePrefix="0" xfId="0"/>
    <xf numFmtId="167" fontId="12" fillId="11" borderId="60" pivotButton="0" quotePrefix="0" xfId="3"/>
    <xf numFmtId="167" fontId="12" fillId="0" borderId="37" pivotButton="0" quotePrefix="0" xfId="3"/>
    <xf numFmtId="167" fontId="12" fillId="0" borderId="22" pivotButton="0" quotePrefix="0" xfId="3"/>
    <xf numFmtId="167" fontId="12" fillId="0" borderId="47" pivotButton="0" quotePrefix="0" xfId="3"/>
    <xf numFmtId="167" fontId="12" fillId="0" borderId="54" pivotButton="0" quotePrefix="0" xfId="3"/>
    <xf numFmtId="167" fontId="12" fillId="0" borderId="36" pivotButton="0" quotePrefix="0" xfId="3"/>
  </cellXfs>
  <cellStyles count="4">
    <cellStyle name="Normal" xfId="0" builtinId="0"/>
    <cellStyle name="Normal 2" xfId="1"/>
    <cellStyle name="Good" xfId="2" builtinId="26"/>
    <cellStyle name="Currency" xfId="3" builtinId="4"/>
  </cellStyles>
  <dxfs count="14">
    <dxf>
      <font>
        <b val="1"/>
        <i val="1"/>
        <color rgb="FFFF0000"/>
      </font>
    </dxf>
    <dxf>
      <font>
        <b val="1"/>
        <i val="1"/>
        <color rgb="FFFF0000"/>
      </font>
    </dxf>
    <dxf>
      <font>
        <b val="1"/>
        <i val="1"/>
        <color rgb="FFFF0000"/>
      </font>
    </dxf>
    <dxf>
      <font>
        <b val="1"/>
        <i val="1"/>
        <color rgb="FFFF0000"/>
      </font>
    </dxf>
    <dxf>
      <font>
        <b val="1"/>
        <color rgb="FFFF0000"/>
      </font>
    </dxf>
    <dxf>
      <font>
        <b val="1"/>
        <i val="1"/>
        <color rgb="FFFF0000"/>
      </font>
    </dxf>
    <dxf>
      <font>
        <b val="1"/>
        <color rgb="FFFF0000"/>
      </font>
    </dxf>
    <dxf>
      <font>
        <b val="1"/>
        <i val="1"/>
        <color rgb="FFFF0000"/>
      </font>
    </dxf>
    <dxf>
      <font>
        <b val="1"/>
        <i val="1"/>
        <color rgb="FFFF0000"/>
      </font>
    </dxf>
    <dxf>
      <font>
        <b val="1"/>
        <i val="1"/>
        <color rgb="FFFF0000"/>
      </font>
    </dxf>
    <dxf>
      <font>
        <b val="1"/>
        <i val="1"/>
        <color rgb="FFFF0000"/>
      </font>
    </dxf>
    <dxf>
      <font>
        <b val="1"/>
        <i val="1"/>
        <color rgb="FFFF0000"/>
      </font>
    </dxf>
    <dxf>
      <font>
        <b val="1"/>
        <color rgb="FFFF0000"/>
      </font>
    </dxf>
    <dxf>
      <font>
        <b val="1"/>
        <i val="1"/>
        <color rgb="FF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Joy Ji Liu</author>
  </authors>
  <commentList>
    <comment ref="A14" authorId="0" shapeId="0">
      <text>
        <t>HDR STIPEND REQUESTS FROM THE ARC
Stipend requests from the ARC should not be added manually in D1 but selected from the drop-down list under 'Add Participant type' above the budget table. Refer to pg.11 of the DP25 Instructions to Applicants for further details. 
HDR STIPEND AMOUNTS
HDR requests from the ARC must be set at $32,212. Please refer to Tab 1 - "Salary Scales" to identify the correct top-up amounts to include as Admin Org contributions, or the total amount to request if the HDR stipend is to be funded by UoM in its entirety. 
GROUPING PERSONNEL REQUESTS
ARC guidelines recommend grouping personnel roles by institution or role; RIC also recommends including the salary level and FTE - e.g. '2 x Senior Research Associates, A6-A8 @1.0FTE' 
IN-KIND SALARY CONTRIBUTIONS
Named CIs and PIs cannot request salary in Discovery Project applications - these must be provided at in-kind contributions.
For CI and PI time, only include the portion of their salary for which they are committing to the project - e.g. a Level E (annual salary of $307,871) working 0.2FTE each year on the project should list an in-kind contribution of $307,871 x 0.2 = $61,574. 
List UoM CI in-kind salaries under "Admin Org" column; other CI in-kind salaries under "Other Eligible Org" column; and PI in-kind salaries under "Other Org" column. 
Do not include any in-kind salary component funded by Commonwealth Fellowships. Only listed the component committed by the Eligible Organisation over and above the Commonwealth component. 
If a CI has an Honorary Academic Appointment and there is no $ contribution, do not enter them in the budget table. Discuss their time contribution in the Budget Justification.</t>
      </text>
    </comment>
    <comment ref="A35" authorId="0" shapeId="0">
      <text>
        <t>TEACHING RELIEF REQUESTS
Only CIs may request Teaching Relief up to a total value of $50,000 per CI per requested year. 
For more details on how to add Teaching Relief requests, refer to pg.12 of the DP25 Instructions to Applicants. 
D2 JUSTIFICATIONS
Ensure that any requests for Teaching Relief are adequately justified, refer to pg.15 of the DP25 Instructions to Applicants for further details.</t>
      </text>
    </comment>
    <comment ref="A46" authorId="0" shapeId="0">
      <text>
        <t xml:space="preserve">$50,000 LIMIT
Ensure that your travel requests do not exeed $50,000 over the lifetime of the project. Travel and accomodation costs related to field research or carers' costs are not included in this $50,000 limit. Refer to value in cell C4 to determine your total Travel related requests to the ARC.
D2/D3 JUSTIFICATIONS
RIC recommends justification of 'Travel' costs by trip (e.g. Europe/USA Conference: 2 people, 3 nights) and explaining all relevant costs asociated with the trip such as accomodation, flights, conference registration and per diems.
</t>
      </text>
    </comment>
    <comment ref="A66" authorId="0" shapeId="0">
      <text>
        <t xml:space="preserve">D2/D3 JUSTIFICATIONS
RIC recommends justification of 'Field Research' costs by site visit (e.g. Yass visit: 1 person, 10 days) and explaining all associated costs.
</t>
      </text>
    </comment>
    <comment ref="A87" authorId="0" shapeId="0">
      <text>
        <t xml:space="preserve">EQUIPMENT REQUESTS
Equipment requests must be for project-specific equipment. 
D2/D3 JUSTIFICATIONS
Justifications for major pieces of equipment must demonstrate the importance of the equipment to the research proposed and show that access to such equipment housed elsewhere is not practical. 
The Administering Organisation would be expected to contribute part of the funding required for expensive items of equipment. </t>
      </text>
    </comment>
  </commentList>
</comments>
</file>

<file path=xl/comments/comment2.xml><?xml version="1.0" encoding="utf-8"?>
<comments xmlns="http://schemas.openxmlformats.org/spreadsheetml/2006/main">
  <authors>
    <author>Joy Ji Liu</author>
  </authors>
  <commentList>
    <comment ref="A14" authorId="0" shapeId="0">
      <text>
        <t>HDR STIPEND REQUESTS FROM THE ARC
Stipend requests from the ARC should not be added manually in D1 but selected from the drop-down list under 'Add Participant type' above the budget table. Refer to pg.12 of the DP27 Instructions to Applicants for further details. 
HDR STIPEND AMOUNTS
HDR requests from the ARC must be set at $34,338. Please refer to Tab 1 - "Salary Scales" to identify the correct top-up amounts to include as Admin Org contributions, or the total amount to request if the HDR stipend is to be funded by UoM in its entirety. 
GROUPING PERSONNEL REQUESTS
ARC guidelines recommend grouping personnel roles by institution or role; RIC also recommends including the salary level and FTE - e.g. '2 x Senior Research Associates, A6-A8 @1.0FTE' 
IN-KIND SALARY CONTRIBUTIONS
Named CIs and PIs cannot request salary in Discovery Project applications - these must be provided at in-kind contributions.
For CI and PI time, only include the portion of their salary for which they are committing to the project - e.g. a Level E (annual salary of $307,871) working 0.2FTE each year on the project should list an in-kind contribution of $307,871 x 0.2 = $61,574. 
List UoM CI in-kind salaries under "Admin Org" column; other CI in-kind salaries under "Other Eligible Org" column; and PI in-kind salaries under "Other Org" column. 
Do not include any in-kind salary component funded by Commonwealth Fellowships. Only listed the component committed by the Eligible Organisation over and above the Commonwealth component. 
If a CI has an Honorary Academic Appointment and there is no $ contribution, do not enter them in the budget table. Discuss their time contribution in the Budget Justification.</t>
      </text>
    </comment>
    <comment ref="A21" authorId="0" shapeId="0">
      <text>
        <t>TEACHING RELIEF REQUESTS
Only CIs may request Teaching Relief up to a total value of $50,000 per CI per requested year. 
For more details on how to add Teaching Relief requests, refer to pg.7 of the DP27 Instructions to Applicants. 
D2 JUSTIFICATIONS
Ensure that any requests for Teaching Relief are adequately justified, refer to pg.16 of the DP27 Instructions to Applicants for further details.</t>
      </text>
    </comment>
    <comment ref="A24" authorId="0" shapeId="0">
      <text>
        <t xml:space="preserve">$50,000 LIMIT
Ensure that your travel requests do not exeed $50,000 over the lifetime of the project. Travel and accomodation costs related to field research or carers' costs are not included in this $50,000 limit. Refer to value in cell C4 to determine your total Travel related requests to the ARC.
D2/D3 JUSTIFICATIONS
RIC recommends justification of 'Travel' costs by trip (e.g. Europe/USA Conference: 2 people, 3 nights) and explaining all relevant costs asociated with the trip such as accomodation, flights, conference registration and per diems.
</t>
      </text>
    </comment>
    <comment ref="A26" authorId="0" shapeId="0">
      <text>
        <t xml:space="preserve">D2/D3 JUSTIFICATIONS
RIC recommends justification of 'Field Research' costs by site visit (e.g. Yass visit: 1 person, 10 days) and explaining all associated costs.
</t>
      </text>
    </comment>
    <comment ref="A28" authorId="0" shapeId="0">
      <text>
        <t xml:space="preserve">D2/D3 JUSTIFICATIONS
RIC recommends justification of 'Field Research' costs by site visit (e.g. Yass visit: 1 person, 10 days) and explaining all associated costs.
</t>
      </text>
    </comment>
  </commentList>
</comments>
</file>

<file path=xl/externalLinks/_rels/externalLink1.xml.rels><Relationships xmlns="http://schemas.openxmlformats.org/package/2006/relationships"><Relationship Type="http://schemas.openxmlformats.org/officeDocument/2006/relationships/externalLinkPath" Target="http://www.fpg.unimelb.edu.au/pcp/internal/ssc-tables/Permanent_Salary_Calculator.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alary on-cost table"/>
      <sheetName val="Help Documentation"/>
      <sheetName val="Table "/>
      <sheetName val="Sheet1"/>
      <sheetName val="names"/>
    </sheetNames>
    <sheetDataSet>
      <sheetData sheetId="0"/>
      <sheetData sheetId="1"/>
      <sheetData sheetId="2"/>
      <sheetData sheetId="3">
        <row r="1">
          <cell r="A1" t="str">
            <v>HEW 1.1</v>
          </cell>
        </row>
        <row r="2">
          <cell r="A2" t="str">
            <v>HEW 1.2</v>
          </cell>
        </row>
        <row r="3">
          <cell r="A3" t="str">
            <v>HEW 1.3</v>
          </cell>
        </row>
        <row r="4">
          <cell r="A4" t="str">
            <v>HEW 2.1</v>
          </cell>
        </row>
        <row r="5">
          <cell r="A5" t="str">
            <v>HEW 2.2</v>
          </cell>
        </row>
        <row r="6">
          <cell r="A6" t="str">
            <v>HEW 2.3</v>
          </cell>
        </row>
        <row r="7">
          <cell r="A7" t="str">
            <v>HEW 3.1</v>
          </cell>
        </row>
        <row r="8">
          <cell r="A8" t="str">
            <v>HEW 3.2</v>
          </cell>
        </row>
        <row r="9">
          <cell r="A9" t="str">
            <v>HEW 3.3</v>
          </cell>
        </row>
        <row r="10">
          <cell r="A10" t="str">
            <v>HEW 3.4</v>
          </cell>
        </row>
        <row r="11">
          <cell r="A11" t="str">
            <v>HEW 3.5</v>
          </cell>
        </row>
        <row r="12">
          <cell r="A12" t="str">
            <v>HEW 3.6</v>
          </cell>
        </row>
        <row r="13">
          <cell r="A13" t="str">
            <v>HEW 4.1</v>
          </cell>
        </row>
        <row r="14">
          <cell r="A14" t="str">
            <v>HEW 4.2</v>
          </cell>
        </row>
        <row r="15">
          <cell r="A15" t="str">
            <v>HEW 4.3</v>
          </cell>
        </row>
        <row r="16">
          <cell r="A16" t="str">
            <v>HEW 4.4</v>
          </cell>
        </row>
        <row r="17">
          <cell r="A17" t="str">
            <v>HEW 5.1</v>
          </cell>
        </row>
        <row r="18">
          <cell r="A18" t="str">
            <v>HEW 5.2</v>
          </cell>
        </row>
        <row r="19">
          <cell r="A19" t="str">
            <v>HEW 5.3</v>
          </cell>
        </row>
        <row r="20">
          <cell r="A20" t="str">
            <v>HEW 5.4</v>
          </cell>
        </row>
        <row r="21">
          <cell r="A21" t="str">
            <v>HEW 5.5</v>
          </cell>
        </row>
        <row r="22">
          <cell r="A22" t="str">
            <v>HEW 5.6</v>
          </cell>
        </row>
        <row r="23">
          <cell r="A23" t="str">
            <v>HEW 5.7</v>
          </cell>
        </row>
        <row r="24">
          <cell r="A24" t="str">
            <v>HEW 5.8</v>
          </cell>
        </row>
        <row r="25">
          <cell r="A25" t="str">
            <v>HEW 6.1</v>
          </cell>
        </row>
        <row r="26">
          <cell r="A26" t="str">
            <v>HEW 6.2</v>
          </cell>
        </row>
        <row r="27">
          <cell r="A27" t="str">
            <v>HEW 6.3</v>
          </cell>
        </row>
        <row r="28">
          <cell r="A28" t="str">
            <v>HEW 6.4</v>
          </cell>
        </row>
        <row r="29">
          <cell r="A29" t="str">
            <v>HEW 6.5</v>
          </cell>
        </row>
        <row r="30">
          <cell r="A30" t="str">
            <v>HEW 7.1</v>
          </cell>
        </row>
        <row r="31">
          <cell r="A31" t="str">
            <v>HEW 7.2</v>
          </cell>
        </row>
        <row r="32">
          <cell r="A32" t="str">
            <v>HEW 7.3</v>
          </cell>
        </row>
        <row r="33">
          <cell r="A33" t="str">
            <v>HEW 7.4</v>
          </cell>
        </row>
        <row r="34">
          <cell r="A34" t="str">
            <v>HEW 7.5</v>
          </cell>
        </row>
        <row r="35">
          <cell r="A35" t="str">
            <v>HEW 8.1</v>
          </cell>
        </row>
        <row r="36">
          <cell r="A36" t="str">
            <v>HEW 8.2</v>
          </cell>
        </row>
        <row r="37">
          <cell r="A37" t="str">
            <v>HEW 8.3</v>
          </cell>
        </row>
        <row r="38">
          <cell r="A38" t="str">
            <v>HEW 8.4</v>
          </cell>
        </row>
        <row r="39">
          <cell r="A39" t="str">
            <v>HEW 8.5</v>
          </cell>
        </row>
        <row r="40">
          <cell r="A40" t="str">
            <v>HEW 9.1</v>
          </cell>
        </row>
        <row r="41">
          <cell r="A41" t="str">
            <v>HEW 9.2</v>
          </cell>
        </row>
        <row r="42">
          <cell r="A42" t="str">
            <v>HEW 9.3</v>
          </cell>
        </row>
        <row r="43">
          <cell r="A43" t="str">
            <v>HEW 10</v>
          </cell>
        </row>
        <row r="44">
          <cell r="A44" t="str">
            <v>HEW 10.A</v>
          </cell>
        </row>
        <row r="45">
          <cell r="A45" t="str">
            <v>HEW 10.B</v>
          </cell>
        </row>
        <row r="46">
          <cell r="A46" t="str">
            <v>HEW 10.C</v>
          </cell>
        </row>
        <row r="47">
          <cell r="A47" t="str">
            <v>HEW 10.D</v>
          </cell>
        </row>
        <row r="48">
          <cell r="A48" t="str">
            <v>HEW 10.E</v>
          </cell>
        </row>
        <row r="49">
          <cell r="A49" t="str">
            <v>HEW 1.1 Trainee</v>
          </cell>
        </row>
        <row r="50">
          <cell r="A50" t="str">
            <v>HEW 1.2 Trainee</v>
          </cell>
        </row>
        <row r="51">
          <cell r="A51" t="str">
            <v>HEW 2.1 Trainee</v>
          </cell>
        </row>
        <row r="52">
          <cell r="A52" t="str">
            <v>HEW 2.2 Trainee</v>
          </cell>
        </row>
        <row r="53">
          <cell r="A53" t="str">
            <v>HEW 3.1 Trainee</v>
          </cell>
        </row>
        <row r="54">
          <cell r="A54" t="str">
            <v>HEW 3.2 Trainee</v>
          </cell>
        </row>
        <row r="55">
          <cell r="A55" t="str">
            <v>HEW 3.1 Apprentice</v>
          </cell>
        </row>
        <row r="56">
          <cell r="A56" t="str">
            <v>HEW 3.2 Apprentice</v>
          </cell>
        </row>
        <row r="57">
          <cell r="A57" t="str">
            <v>HEW 3.3 Apprentice</v>
          </cell>
        </row>
        <row r="58">
          <cell r="A58" t="str">
            <v>HEW 3.4 Apprentice</v>
          </cell>
        </row>
        <row r="59">
          <cell r="A59" t="str">
            <v>HEW 4.1 Apprentice</v>
          </cell>
        </row>
        <row r="60">
          <cell r="A60" t="str">
            <v>HEW 4.2 Apprentice</v>
          </cell>
        </row>
        <row r="61">
          <cell r="A61" t="str">
            <v>HEW 4.3 Apprentice</v>
          </cell>
        </row>
        <row r="62">
          <cell r="A62" t="str">
            <v>HEW 4.4 Apprentice</v>
          </cell>
        </row>
        <row r="63">
          <cell r="A63" t="str">
            <v>Lvl A.1</v>
          </cell>
        </row>
        <row r="64">
          <cell r="A64" t="str">
            <v>Lvl A.2</v>
          </cell>
        </row>
        <row r="65">
          <cell r="A65" t="str">
            <v>Lvl A.3</v>
          </cell>
        </row>
        <row r="66">
          <cell r="A66" t="str">
            <v>Lvl A.4</v>
          </cell>
        </row>
        <row r="67">
          <cell r="A67" t="str">
            <v>Lvl A.5</v>
          </cell>
        </row>
        <row r="68">
          <cell r="A68" t="str">
            <v>Lvl A.6</v>
          </cell>
        </row>
        <row r="69">
          <cell r="A69" t="str">
            <v>Lvl A.7</v>
          </cell>
        </row>
        <row r="70">
          <cell r="A70" t="str">
            <v>Lvl A.8</v>
          </cell>
        </row>
        <row r="71">
          <cell r="A71" t="str">
            <v>Lvl B.1</v>
          </cell>
        </row>
        <row r="72">
          <cell r="A72" t="str">
            <v>Lvl B.2</v>
          </cell>
        </row>
        <row r="73">
          <cell r="A73" t="str">
            <v>Lvl B.3</v>
          </cell>
        </row>
        <row r="74">
          <cell r="A74" t="str">
            <v>Lvl B.4</v>
          </cell>
        </row>
        <row r="75">
          <cell r="A75" t="str">
            <v>Lvl B.5</v>
          </cell>
        </row>
        <row r="76">
          <cell r="A76" t="str">
            <v>Lvl B.6</v>
          </cell>
        </row>
        <row r="77">
          <cell r="A77" t="str">
            <v>Lvl C.1</v>
          </cell>
        </row>
        <row r="78">
          <cell r="A78" t="str">
            <v>Lvl C.2</v>
          </cell>
        </row>
        <row r="79">
          <cell r="A79" t="str">
            <v>Lvl C.3</v>
          </cell>
        </row>
        <row r="80">
          <cell r="A80" t="str">
            <v>Lvl C.4</v>
          </cell>
        </row>
        <row r="81">
          <cell r="A81" t="str">
            <v>Lvl C.5</v>
          </cell>
        </row>
        <row r="82">
          <cell r="A82" t="str">
            <v>Lvl C.6</v>
          </cell>
        </row>
        <row r="83">
          <cell r="A83" t="str">
            <v>Lvl D.1</v>
          </cell>
        </row>
        <row r="84">
          <cell r="A84" t="str">
            <v>Lvl D.2</v>
          </cell>
        </row>
        <row r="85">
          <cell r="A85" t="str">
            <v>Lvl D.3</v>
          </cell>
        </row>
        <row r="86">
          <cell r="A86" t="str">
            <v>Lvl D.4</v>
          </cell>
        </row>
        <row r="87">
          <cell r="A87" t="str">
            <v>Lvl E.1</v>
          </cell>
        </row>
        <row r="88">
          <cell r="A88" t="str">
            <v xml:space="preserve">Lvl E.2 </v>
          </cell>
        </row>
        <row r="89">
          <cell r="A89" t="str">
            <v>RA Gr1.1</v>
          </cell>
        </row>
        <row r="90">
          <cell r="A90" t="str">
            <v>RA Gr1.2</v>
          </cell>
        </row>
        <row r="91">
          <cell r="A91" t="str">
            <v>RA Gr1.3</v>
          </cell>
        </row>
        <row r="92">
          <cell r="A92" t="str">
            <v>Lvl A.1 RA Gr2</v>
          </cell>
        </row>
        <row r="93">
          <cell r="A93" t="str">
            <v>Lvl A.2 RA Gr2</v>
          </cell>
        </row>
        <row r="94">
          <cell r="A94" t="str">
            <v>Lvl A.3 RA Gr2</v>
          </cell>
        </row>
        <row r="95">
          <cell r="A95" t="str">
            <v>Lvl A.4 RA Gr2</v>
          </cell>
        </row>
        <row r="96">
          <cell r="A96" t="str">
            <v>Lvl A.5 RA Gr2</v>
          </cell>
        </row>
        <row r="97">
          <cell r="A97" t="str">
            <v>Lvl A.6 RA Gr2</v>
          </cell>
        </row>
        <row r="98">
          <cell r="A98" t="str">
            <v>Lvl A.7 RA Gr2</v>
          </cell>
        </row>
        <row r="99">
          <cell r="A99" t="str">
            <v>Lvl A.8 RA Gr2</v>
          </cell>
        </row>
        <row r="100">
          <cell r="A100" t="str">
            <v>Lvl A.1 RFELL1</v>
          </cell>
        </row>
        <row r="101">
          <cell r="A101" t="str">
            <v>Lvl A.2 RFELL1</v>
          </cell>
        </row>
        <row r="102">
          <cell r="A102" t="str">
            <v>Lvl A.3 RFELL1</v>
          </cell>
        </row>
        <row r="103">
          <cell r="A103" t="str">
            <v>Lvl A.4 RFELL1</v>
          </cell>
        </row>
        <row r="104">
          <cell r="A104" t="str">
            <v>Lvl A.5 RFELL1</v>
          </cell>
        </row>
        <row r="105">
          <cell r="A105" t="str">
            <v>Lvl A.6 RFELL1</v>
          </cell>
        </row>
        <row r="106">
          <cell r="A106" t="str">
            <v>Lvl A.7 RFELL1</v>
          </cell>
        </row>
        <row r="107">
          <cell r="A107" t="str">
            <v>Lvl A.8 RFELL1</v>
          </cell>
        </row>
        <row r="108">
          <cell r="A108" t="str">
            <v>Lvl B.1 RFELL2</v>
          </cell>
        </row>
        <row r="109">
          <cell r="A109" t="str">
            <v>Lvl B.2 RFELL2</v>
          </cell>
        </row>
        <row r="110">
          <cell r="A110" t="str">
            <v>Lvl B.3 RFELL2</v>
          </cell>
        </row>
        <row r="111">
          <cell r="A111" t="str">
            <v>Lvl B.4 RFELL2</v>
          </cell>
        </row>
        <row r="112">
          <cell r="A112" t="str">
            <v>Lvl B.5 RFELL2</v>
          </cell>
        </row>
        <row r="113">
          <cell r="A113" t="str">
            <v>Lvl B.6 RFELL2</v>
          </cell>
        </row>
        <row r="114">
          <cell r="A114" t="str">
            <v>Lvl C.1 Snr RFELL</v>
          </cell>
        </row>
        <row r="115">
          <cell r="A115" t="str">
            <v>Lvl C.2 Snr RFELL</v>
          </cell>
        </row>
        <row r="116">
          <cell r="A116" t="str">
            <v>Lvl C.3 Snr RFELL</v>
          </cell>
        </row>
        <row r="117">
          <cell r="A117" t="str">
            <v>Lvl C.4 Snr RFELL</v>
          </cell>
        </row>
        <row r="118">
          <cell r="A118" t="str">
            <v>Lvl C.5 Snr RFELL</v>
          </cell>
        </row>
        <row r="119">
          <cell r="A119" t="str">
            <v>Lvl C.6 Snr RFELL</v>
          </cell>
        </row>
        <row r="120">
          <cell r="A120" t="str">
            <v>VET 1.1 Intern</v>
          </cell>
        </row>
        <row r="121">
          <cell r="A121" t="str">
            <v>VET 1.2 Intern</v>
          </cell>
        </row>
        <row r="122">
          <cell r="A122" t="str">
            <v>VET 1.3 Intern</v>
          </cell>
        </row>
        <row r="123">
          <cell r="A123" t="str">
            <v>VET 1.1 Resident</v>
          </cell>
        </row>
        <row r="124">
          <cell r="A124" t="str">
            <v>VET 1.2 Resident</v>
          </cell>
        </row>
        <row r="125">
          <cell r="A125" t="str">
            <v>VET 1.1 Registrar</v>
          </cell>
        </row>
        <row r="126">
          <cell r="A126" t="str">
            <v>VET 1.2 Registrar</v>
          </cell>
        </row>
        <row r="127">
          <cell r="A127" t="str">
            <v>VET 1.3 Registrar</v>
          </cell>
        </row>
        <row r="128">
          <cell r="A128" t="str">
            <v>VET 1.4 Registrar</v>
          </cell>
        </row>
        <row r="129">
          <cell r="A129" t="str">
            <v>VET 1.5 Registrar</v>
          </cell>
        </row>
        <row r="130">
          <cell r="A130" t="str">
            <v>VET 1.6 Registrar</v>
          </cell>
        </row>
        <row r="131">
          <cell r="A131" t="str">
            <v>VET 1.1 Snr Registrar</v>
          </cell>
        </row>
        <row r="132">
          <cell r="A132" t="str">
            <v>VET 1.2 Snr Registrar</v>
          </cell>
        </row>
        <row r="133">
          <cell r="A133" t="str">
            <v>VET 1.3 Snr Registrar</v>
          </cell>
        </row>
        <row r="134">
          <cell r="A134" t="str">
            <v>VET 1.4 Snr Registrar</v>
          </cell>
        </row>
        <row r="135">
          <cell r="A135" t="str">
            <v>VET 1.5 Snr Registrar</v>
          </cell>
        </row>
        <row r="136">
          <cell r="A136" t="str">
            <v>VET 1.6 Snr Registrar</v>
          </cell>
        </row>
        <row r="137">
          <cell r="A137" t="str">
            <v>VET 1.7 Snr Registrar</v>
          </cell>
        </row>
        <row r="138">
          <cell r="A138" t="str">
            <v>Lvl D.1 Clin</v>
          </cell>
        </row>
        <row r="139">
          <cell r="A139" t="str">
            <v>Lvl D.2 Clin</v>
          </cell>
        </row>
        <row r="140">
          <cell r="A140" t="str">
            <v>Lvl D.3 Clin</v>
          </cell>
        </row>
        <row r="141">
          <cell r="A141" t="str">
            <v>Lvl A.1 Tutor</v>
          </cell>
        </row>
        <row r="142">
          <cell r="A142" t="str">
            <v>Lvl A.2 Tutor</v>
          </cell>
        </row>
        <row r="143">
          <cell r="A143" t="str">
            <v>Lvl A.3 Tutor</v>
          </cell>
        </row>
        <row r="144">
          <cell r="A144" t="str">
            <v>Lvl A.4 Tutor</v>
          </cell>
        </row>
        <row r="145">
          <cell r="A145" t="str">
            <v>Lvl A.5 Tutor</v>
          </cell>
        </row>
        <row r="146">
          <cell r="A146" t="str">
            <v>Lvl A.6 Tutor</v>
          </cell>
        </row>
        <row r="147">
          <cell r="A147" t="str">
            <v>Lvl A.7 Tutor</v>
          </cell>
        </row>
        <row r="148">
          <cell r="A148" t="str">
            <v>Lvl A.8 Tutor</v>
          </cell>
        </row>
        <row r="149">
          <cell r="A149" t="str">
            <v>Lvl B.1 Lecturer</v>
          </cell>
        </row>
        <row r="150">
          <cell r="A150" t="str">
            <v>Lvl B.2 Lecturer</v>
          </cell>
        </row>
        <row r="151">
          <cell r="A151" t="str">
            <v>Lvl B.3 Lecturer</v>
          </cell>
        </row>
        <row r="152">
          <cell r="A152" t="str">
            <v>Lvl B.4 Lecturer</v>
          </cell>
        </row>
        <row r="153">
          <cell r="A153" t="str">
            <v>Lvl B.5 Lecturer</v>
          </cell>
        </row>
        <row r="154">
          <cell r="A154" t="str">
            <v>Lvl B.6 Lecturer</v>
          </cell>
        </row>
        <row r="155">
          <cell r="A155" t="str">
            <v>Lvl C.1 Senior Lecturer</v>
          </cell>
        </row>
        <row r="156">
          <cell r="A156" t="str">
            <v>Lvl C.2 Senior Lecturer</v>
          </cell>
        </row>
        <row r="157">
          <cell r="A157" t="str">
            <v>Lvl C.3 Senior Lecturer</v>
          </cell>
        </row>
        <row r="158">
          <cell r="A158" t="str">
            <v>Lvl C.4 Senior Lecturer</v>
          </cell>
        </row>
        <row r="159">
          <cell r="A159" t="str">
            <v>Lvl C.5 Senior Lecturer</v>
          </cell>
        </row>
        <row r="160">
          <cell r="A160" t="str">
            <v>Lvl C.6 Senior Lecturer</v>
          </cell>
        </row>
        <row r="161">
          <cell r="A161" t="str">
            <v>Lvl D.1 Principal Lecturer</v>
          </cell>
        </row>
        <row r="162">
          <cell r="A162" t="str">
            <v>Lvl D.2 Principal Lecturer</v>
          </cell>
        </row>
        <row r="163">
          <cell r="A163" t="str">
            <v>Lvl D.3 Principal Lecturer</v>
          </cell>
        </row>
        <row r="164">
          <cell r="A164" t="str">
            <v>Lvl D.4 Principal Lecturer</v>
          </cell>
        </row>
        <row r="165">
          <cell r="A165" t="str">
            <v>Lvl D.1 Principal RFELL</v>
          </cell>
        </row>
        <row r="166">
          <cell r="A166" t="str">
            <v>Lvl D.2 Principal RFELL</v>
          </cell>
        </row>
        <row r="167">
          <cell r="A167" t="str">
            <v>Lvl D.3 Principal RFELL</v>
          </cell>
        </row>
        <row r="168">
          <cell r="A168" t="str">
            <v>Lvl D.4 Principal RFELL</v>
          </cell>
        </row>
        <row r="169">
          <cell r="A169" t="str">
            <v>Lvl D.1 Reader</v>
          </cell>
        </row>
        <row r="170">
          <cell r="A170" t="str">
            <v>Lvl D.2 Reader</v>
          </cell>
        </row>
        <row r="171">
          <cell r="A171" t="str">
            <v>Lvl D.3 Reader</v>
          </cell>
        </row>
        <row r="172">
          <cell r="A172" t="str">
            <v>Lvl D.4 Reader</v>
          </cell>
        </row>
        <row r="173">
          <cell r="A173" t="str">
            <v>Lvl D.1 Assoc PROF</v>
          </cell>
        </row>
        <row r="174">
          <cell r="A174" t="str">
            <v>Lvl D.2 Assoc PROF</v>
          </cell>
        </row>
        <row r="175">
          <cell r="A175" t="str">
            <v>Lvl D.3 Assoc PROF</v>
          </cell>
        </row>
        <row r="176">
          <cell r="A176" t="str">
            <v>Lvl D.4 Assoc PROF</v>
          </cell>
        </row>
        <row r="177">
          <cell r="A177" t="str">
            <v>Lvl E.1 PFELL</v>
          </cell>
        </row>
        <row r="178">
          <cell r="A178" t="str">
            <v>Lvl E.1 PROF</v>
          </cell>
        </row>
        <row r="179">
          <cell r="A179" t="str">
            <v>Lvl E.2 PROF</v>
          </cell>
        </row>
        <row r="180">
          <cell r="A180" t="str">
            <v>Lvl A.6 ARC POST DOC RF</v>
          </cell>
        </row>
        <row r="181">
          <cell r="A181" t="str">
            <v>Lvl A.7 ARC POST DOC RF</v>
          </cell>
        </row>
        <row r="182">
          <cell r="A182" t="str">
            <v>Lvl A.8 ARC POST DOC RF</v>
          </cell>
        </row>
        <row r="183">
          <cell r="A183" t="str">
            <v>Lvl B.1 ARC AUST RF</v>
          </cell>
        </row>
        <row r="184">
          <cell r="A184" t="str">
            <v>Lvl B.2 ARC AUST RF</v>
          </cell>
        </row>
        <row r="185">
          <cell r="A185" t="str">
            <v>Lvl B.3 ARC AUST RF</v>
          </cell>
        </row>
        <row r="186">
          <cell r="A186" t="str">
            <v>Lvl B.4 ARC AUST RF</v>
          </cell>
        </row>
        <row r="187">
          <cell r="A187" t="str">
            <v>Lvl B.5 ARC AUST RF</v>
          </cell>
        </row>
        <row r="188">
          <cell r="A188" t="str">
            <v>Lvl B.6 ARC AUST RF</v>
          </cell>
        </row>
        <row r="189">
          <cell r="A189" t="str">
            <v>Lvl B.3 ARC FELL QE2</v>
          </cell>
        </row>
        <row r="190">
          <cell r="A190" t="str">
            <v>Lvl B.4 ARC FELL QE2</v>
          </cell>
        </row>
        <row r="191">
          <cell r="A191" t="str">
            <v>Lvl B.5 ARC FELL QE2</v>
          </cell>
        </row>
        <row r="192">
          <cell r="A192" t="str">
            <v>Lvl B.6 ARC FELL QE2</v>
          </cell>
        </row>
        <row r="193">
          <cell r="A193" t="str">
            <v>Lvl C.1 ARC FELL QE2</v>
          </cell>
        </row>
        <row r="194">
          <cell r="A194" t="str">
            <v>Lvl C.2 ARC FELL QE2</v>
          </cell>
        </row>
        <row r="195">
          <cell r="A195" t="str">
            <v>Lvl C.3 ARC FELL QE2</v>
          </cell>
        </row>
        <row r="196">
          <cell r="A196" t="str">
            <v>Lvl C.4 ARC FELL QE2</v>
          </cell>
        </row>
        <row r="197">
          <cell r="A197" t="str">
            <v>Lvl C.5 ARC FELL QE2</v>
          </cell>
        </row>
        <row r="198">
          <cell r="A198" t="str">
            <v>Lvl C.6 ARC FELL QE2</v>
          </cell>
        </row>
        <row r="199">
          <cell r="A199" t="str">
            <v>Lvl C.1 ARC SNR RF 1 SNR LECT</v>
          </cell>
        </row>
        <row r="200">
          <cell r="A200" t="str">
            <v>Lvl C.2 ARC SNR RF 1 SNR LECT</v>
          </cell>
        </row>
        <row r="201">
          <cell r="A201" t="str">
            <v>Lvl C.3 ARC SNR RF 1 SNR LECT</v>
          </cell>
        </row>
        <row r="202">
          <cell r="A202" t="str">
            <v>Lvl C.4 ARC SNR RF 1 SNR LECT</v>
          </cell>
        </row>
        <row r="203">
          <cell r="A203" t="str">
            <v>Lvl C.5 ARC SNR RF 1 SNR LECT</v>
          </cell>
        </row>
        <row r="204">
          <cell r="A204" t="str">
            <v>Lvl C.6 ARC SNR RF 1 SNR LECT</v>
          </cell>
        </row>
        <row r="205">
          <cell r="A205" t="str">
            <v>Lvl D.1 ARC SNR RF ASSOC PROF</v>
          </cell>
        </row>
        <row r="206">
          <cell r="A206" t="str">
            <v>Lvl D.2 ARC SNR RF ASSOC PROF</v>
          </cell>
        </row>
        <row r="207">
          <cell r="A207" t="str">
            <v>Lvl D.3 ARC SNR RF ASSOC PROF</v>
          </cell>
        </row>
        <row r="208">
          <cell r="A208" t="str">
            <v>Lvl D.4 ARC SNR RF ASSOC PROF</v>
          </cell>
        </row>
        <row r="209">
          <cell r="A209" t="str">
            <v>Lvl E ARC SNR RF PROFSL</v>
          </cell>
        </row>
        <row r="210">
          <cell r="A210" t="str">
            <v>Lvl A.1 NH&amp;MRC RA</v>
          </cell>
        </row>
        <row r="211">
          <cell r="A211" t="str">
            <v>Lvl A.2 NH&amp;MRC RA</v>
          </cell>
        </row>
        <row r="212">
          <cell r="A212" t="str">
            <v>Lvl A.3 NH&amp;MRC RA</v>
          </cell>
        </row>
        <row r="213">
          <cell r="A213" t="str">
            <v>Lvl A.4 NH&amp;MRC RA</v>
          </cell>
        </row>
        <row r="214">
          <cell r="A214" t="str">
            <v>Lvl A.5 NH&amp;MRC RA</v>
          </cell>
        </row>
        <row r="215">
          <cell r="A215" t="str">
            <v>Lvl A.6 NH&amp;MRC RA</v>
          </cell>
        </row>
        <row r="216">
          <cell r="A216" t="str">
            <v>Lvl A.7 NH&amp;MRC RA</v>
          </cell>
        </row>
        <row r="217">
          <cell r="A217" t="str">
            <v>Lvl A.8 NH&amp;MRC RA</v>
          </cell>
        </row>
        <row r="218">
          <cell r="A218" t="str">
            <v>Lvl A.6 NH&amp;MRC RO</v>
          </cell>
        </row>
        <row r="219">
          <cell r="A219" t="str">
            <v>Lvl A.7 NH&amp;MRC RO</v>
          </cell>
        </row>
        <row r="220">
          <cell r="A220" t="str">
            <v>Lvl A.8 NH&amp;MRC RO</v>
          </cell>
        </row>
        <row r="221">
          <cell r="A221" t="str">
            <v>Lvl B.1 NH&amp;MRC SNR RO</v>
          </cell>
        </row>
        <row r="222">
          <cell r="A222" t="str">
            <v>Lvl B.2 NH&amp;MRC SNR RO</v>
          </cell>
        </row>
        <row r="223">
          <cell r="A223" t="str">
            <v>Lvl B.3 NH&amp;MRC SNR RO</v>
          </cell>
        </row>
        <row r="224">
          <cell r="A224" t="str">
            <v>Lvl B.4 NH&amp;MRC SNR RO</v>
          </cell>
        </row>
        <row r="225">
          <cell r="A225" t="str">
            <v>Lvl B.5 NH&amp;MRC SNR RO</v>
          </cell>
        </row>
        <row r="226">
          <cell r="A226" t="str">
            <v>Lvl B.6 NH&amp;MRC SNR RO</v>
          </cell>
        </row>
        <row r="227">
          <cell r="A227" t="str">
            <v>Lvl B.4 NH&amp;MRC SNR RF</v>
          </cell>
        </row>
        <row r="228">
          <cell r="A228" t="str">
            <v>Lvl B.5 NH&amp;MRC SNR RF</v>
          </cell>
        </row>
        <row r="229">
          <cell r="A229" t="str">
            <v>Lvl B.6 NH&amp;MRC SNR RF</v>
          </cell>
        </row>
        <row r="230">
          <cell r="A230" t="str">
            <v>Lvl C.1 NH&amp;MRC SNR RF</v>
          </cell>
        </row>
        <row r="231">
          <cell r="A231" t="str">
            <v>Lvl C.2 NH&amp;MRC SNR RF</v>
          </cell>
        </row>
        <row r="232">
          <cell r="A232" t="str">
            <v>Lvl C.3 NH&amp;MRC SNR RF</v>
          </cell>
        </row>
        <row r="233">
          <cell r="A233" t="str">
            <v>Lvl C.4 NH&amp;MRC SNR RF</v>
          </cell>
        </row>
        <row r="234">
          <cell r="A234" t="str">
            <v>Lvl C.5 NH&amp;MRC SNR RF</v>
          </cell>
        </row>
        <row r="235">
          <cell r="A235" t="str">
            <v>Lvl C.6 NH&amp;MRC SNR RF</v>
          </cell>
        </row>
        <row r="236">
          <cell r="A236" t="str">
            <v>Lvl D.1 NH&amp;MRC PRIN RF</v>
          </cell>
        </row>
        <row r="237">
          <cell r="A237" t="str">
            <v>Lvl D.2 NH&amp;MRC PRIN RF</v>
          </cell>
        </row>
        <row r="238">
          <cell r="A238" t="str">
            <v>Lvl D.3 NH&amp;MRC PRIN RF</v>
          </cell>
        </row>
        <row r="239">
          <cell r="A239" t="str">
            <v>Lvl D.4 NH&amp;MRC PRIN RF</v>
          </cell>
        </row>
        <row r="240">
          <cell r="A240" t="str">
            <v>Lvl E NH&amp;MRC SNR PRIN RF</v>
          </cell>
        </row>
      </sheetData>
      <sheetData sheetId="4">
        <row r="6">
          <cell r="B6" t="str">
            <v>DBD/AS2 (17%)</v>
          </cell>
        </row>
        <row r="7">
          <cell r="B7" t="str">
            <v>AS1 (9%)</v>
          </cell>
        </row>
        <row r="8">
          <cell r="B8" t="str">
            <v>SGC &amp; APP (9%)</v>
          </cell>
        </row>
        <row r="12">
          <cell r="B12" t="str">
            <v>0.50%</v>
          </cell>
        </row>
        <row r="13">
          <cell r="B13" t="str">
            <v>0.50%</v>
          </cell>
        </row>
      </sheetData>
    </sheetDataSet>
  </externalBook>
</externalLink>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O78"/>
  <sheetViews>
    <sheetView topLeftCell="C1" workbookViewId="0">
      <selection activeCell="N5" sqref="N5"/>
    </sheetView>
  </sheetViews>
  <sheetFormatPr baseColWidth="8" defaultColWidth="8.81640625" defaultRowHeight="14.5"/>
  <cols>
    <col width="3.26953125" customWidth="1" style="180" min="1" max="1"/>
    <col width="44.7265625" customWidth="1" style="180" min="2" max="2"/>
    <col width="12.453125" customWidth="1" style="180" min="3" max="3"/>
    <col width="16.1796875" customWidth="1" style="180" min="4" max="4"/>
    <col width="15.26953125" customWidth="1" style="180" min="5" max="6"/>
    <col width="18.26953125" customWidth="1" style="180" min="7" max="7"/>
    <col width="3.26953125" customWidth="1" style="180" min="8" max="8"/>
    <col width="12.54296875" customWidth="1" style="180" min="9" max="9"/>
    <col width="14.81640625" bestFit="1" customWidth="1" style="180" min="10" max="10"/>
    <col width="18.54296875" customWidth="1" style="180" min="11" max="11"/>
    <col width="12.81640625" bestFit="1" customWidth="1" style="180" min="12" max="12"/>
    <col width="3.26953125" customWidth="1" style="180" min="13" max="13"/>
  </cols>
  <sheetData>
    <row r="1" ht="42" customHeight="1" s="180">
      <c r="A1" s="143" t="n"/>
      <c r="B1" s="159" t="inlineStr">
        <is>
          <t>Salary Scales for ARC Discovery Projects commencing in 2027 (DP27)</t>
        </is>
      </c>
      <c r="C1" s="224" t="n"/>
      <c r="D1" s="224" t="n"/>
      <c r="E1" s="224" t="n"/>
      <c r="F1" s="224" t="n"/>
      <c r="G1" s="225" t="n"/>
      <c r="H1" s="143" t="n"/>
      <c r="I1" s="159" t="inlineStr">
        <is>
          <t>PhD Stipend (See: Note 5)</t>
        </is>
      </c>
      <c r="J1" s="224" t="n"/>
      <c r="K1" s="224" t="n"/>
      <c r="L1" s="225" t="n"/>
      <c r="M1" s="143" t="n"/>
    </row>
    <row r="2" ht="75.65000000000001" customHeight="1" s="180">
      <c r="B2" s="17" t="n"/>
      <c r="C2" s="1" t="inlineStr">
        <is>
          <t>Increment
Level
(See: Note 3)</t>
        </is>
      </c>
      <c r="D2" s="5" t="inlineStr">
        <is>
          <t xml:space="preserve">Forecast 2027 hourly casual rates
(inc. 30%
oncosts) </t>
        </is>
      </c>
      <c r="E2" s="22" t="inlineStr">
        <is>
          <t>Forecast 2027
yearly salaries
(ex. oncosts)
(See: Note 1)</t>
        </is>
      </c>
      <c r="F2" s="5" t="inlineStr">
        <is>
          <t>Forecast 2027
yearly salaries (inc. 30%
oncosts)
(See: Note 1)</t>
        </is>
      </c>
      <c r="G2" s="18" t="n"/>
      <c r="I2" s="19" t="inlineStr">
        <is>
          <t>Year</t>
        </is>
      </c>
      <c r="J2" s="5" t="inlineStr">
        <is>
          <t>Rate to request from ARC</t>
        </is>
      </c>
      <c r="K2" s="5" t="inlineStr">
        <is>
          <t>UoM top up rate for stipends requested from ARC</t>
        </is>
      </c>
      <c r="L2" s="20" t="inlineStr">
        <is>
          <t>Total Stipend / Rate to enter for stipends fully funded by UoM</t>
        </is>
      </c>
    </row>
    <row r="3">
      <c r="B3" s="150" t="n"/>
      <c r="C3" s="226" t="n"/>
      <c r="D3" s="226" t="n"/>
      <c r="E3" s="226" t="n"/>
      <c r="F3" s="226" t="n"/>
      <c r="G3" s="227" t="n"/>
      <c r="I3" s="38" t="inlineStr">
        <is>
          <t>Year 1 /2027</t>
        </is>
      </c>
      <c r="J3" s="39" t="n">
        <v>34338</v>
      </c>
      <c r="K3" s="39" t="n">
        <v>6347</v>
      </c>
      <c r="L3" s="34" t="n">
        <v>40685</v>
      </c>
    </row>
    <row r="4" ht="19" customHeight="1" s="180" thickBot="1">
      <c r="B4" s="162" t="inlineStr">
        <is>
          <t>Academic and Research Staff</t>
        </is>
      </c>
      <c r="C4" s="228" t="n"/>
      <c r="D4" s="228" t="n"/>
      <c r="E4" s="228" t="n"/>
      <c r="F4" s="228" t="n"/>
      <c r="G4" s="229" t="n"/>
      <c r="I4" s="38" t="inlineStr">
        <is>
          <t>Year 2 /2028</t>
        </is>
      </c>
      <c r="J4" s="39" t="n">
        <v>34338</v>
      </c>
      <c r="K4" s="39" t="n">
        <v>7567.550000000003</v>
      </c>
      <c r="L4" s="34" t="n">
        <v>41905.55</v>
      </c>
      <c r="O4" s="8" t="n"/>
    </row>
    <row r="5" ht="15" customHeight="1" s="180">
      <c r="B5" s="166" t="inlineStr">
        <is>
          <t>Grade 1 (Research Assistant)
(Bachelors Entry Point)</t>
        </is>
      </c>
      <c r="C5" s="9" t="n">
        <v>1</v>
      </c>
      <c r="D5" s="230" t="n">
        <v>72</v>
      </c>
      <c r="E5" s="23" t="n">
        <v>84530</v>
      </c>
      <c r="F5" s="33" t="n">
        <v>109889</v>
      </c>
      <c r="G5" s="42" t="n"/>
      <c r="I5" s="38" t="inlineStr">
        <is>
          <t>Year 3 /2029</t>
        </is>
      </c>
      <c r="J5" s="39" t="n">
        <v>34338</v>
      </c>
      <c r="K5" s="39" t="n">
        <v>8824.7165</v>
      </c>
      <c r="L5" s="34" t="n">
        <v>43162.7165</v>
      </c>
      <c r="N5" s="8" t="n"/>
      <c r="O5" s="8" t="n"/>
    </row>
    <row r="6" ht="15" customHeight="1" s="180" thickBot="1">
      <c r="B6" s="231" t="n"/>
      <c r="C6" s="2" t="n">
        <v>2</v>
      </c>
      <c r="D6" s="232" t="n">
        <v>74</v>
      </c>
      <c r="E6" s="24" t="n">
        <v>87285</v>
      </c>
      <c r="F6" s="34" t="n">
        <v>113471</v>
      </c>
      <c r="G6" s="42" t="n"/>
      <c r="I6" s="40" t="inlineStr">
        <is>
          <t>Year 4 /2030</t>
        </is>
      </c>
      <c r="J6" s="39" t="n">
        <v>34338</v>
      </c>
      <c r="K6" s="39" t="n">
        <v>10119.597995</v>
      </c>
      <c r="L6" s="34" t="n">
        <v>44457.597995</v>
      </c>
      <c r="O6" s="8" t="n"/>
    </row>
    <row r="7" ht="15" customHeight="1" s="180" thickBot="1">
      <c r="B7" s="233" t="n"/>
      <c r="C7" s="11" t="n">
        <v>3</v>
      </c>
      <c r="D7" s="234" t="n">
        <v>79</v>
      </c>
      <c r="E7" s="25" t="n">
        <v>92581</v>
      </c>
      <c r="F7" s="35" t="n">
        <v>120355</v>
      </c>
      <c r="G7" s="42" t="n"/>
      <c r="I7" s="40" t="inlineStr">
        <is>
          <t>Year 5 /2031</t>
        </is>
      </c>
      <c r="J7" s="41" t="n">
        <v>34338</v>
      </c>
      <c r="K7" s="41" t="n">
        <v>11453.32593485001</v>
      </c>
      <c r="L7" s="35" t="n">
        <v>45791.32593485001</v>
      </c>
      <c r="O7" s="8" t="n"/>
    </row>
    <row r="8" ht="15" customHeight="1" s="180">
      <c r="B8" s="167" t="inlineStr">
        <is>
          <t>Grade 2 / Academic Level A
(Research Assistant/ Research Associate)</t>
        </is>
      </c>
      <c r="C8" s="10" t="inlineStr">
        <is>
          <t>A.1</t>
        </is>
      </c>
      <c r="D8" s="235" t="n">
        <v>79</v>
      </c>
      <c r="E8" s="26" t="n">
        <v>92581</v>
      </c>
      <c r="F8" s="36" t="n">
        <v>120355</v>
      </c>
      <c r="G8" s="42" t="n"/>
    </row>
    <row r="9" ht="15" customHeight="1" s="180">
      <c r="B9" s="231" t="n"/>
      <c r="C9" s="2" t="inlineStr">
        <is>
          <t>A.2</t>
        </is>
      </c>
      <c r="D9" s="232" t="n">
        <v>83</v>
      </c>
      <c r="E9" s="24" t="n">
        <v>97860</v>
      </c>
      <c r="F9" s="34" t="n">
        <v>127219</v>
      </c>
      <c r="G9" s="42" t="n"/>
      <c r="K9" s="8" t="n"/>
    </row>
    <row r="10" ht="15" customHeight="1" s="180">
      <c r="B10" s="231" t="n"/>
      <c r="C10" s="2" t="inlineStr">
        <is>
          <t>A.3</t>
        </is>
      </c>
      <c r="D10" s="232" t="n">
        <v>88</v>
      </c>
      <c r="E10" s="24" t="n">
        <v>103155</v>
      </c>
      <c r="F10" s="34" t="n">
        <v>134102</v>
      </c>
      <c r="G10" s="42" t="n"/>
      <c r="L10" s="8" t="n"/>
    </row>
    <row r="11" ht="15" customHeight="1" s="180">
      <c r="B11" s="231" t="n"/>
      <c r="C11" s="2" t="inlineStr">
        <is>
          <t>A.4</t>
        </is>
      </c>
      <c r="D11" s="232" t="n">
        <v>92</v>
      </c>
      <c r="E11" s="24" t="n">
        <v>108443</v>
      </c>
      <c r="F11" s="34" t="n">
        <v>140977</v>
      </c>
      <c r="G11" s="42" t="n"/>
    </row>
    <row r="12" ht="15" customHeight="1" s="180">
      <c r="B12" s="231" t="n"/>
      <c r="C12" s="2" t="inlineStr">
        <is>
          <t>A.5</t>
        </is>
      </c>
      <c r="D12" s="232" t="n">
        <v>96</v>
      </c>
      <c r="E12" s="24" t="n">
        <v>112745</v>
      </c>
      <c r="F12" s="34" t="n">
        <v>146569</v>
      </c>
      <c r="G12" s="136" t="n"/>
    </row>
    <row r="13" ht="15" customHeight="1" s="180">
      <c r="B13" s="169" t="inlineStr">
        <is>
          <t>PhD Entry Point</t>
        </is>
      </c>
      <c r="C13" s="2" t="inlineStr">
        <is>
          <t>A.6</t>
        </is>
      </c>
      <c r="D13" s="232" t="n">
        <v>99</v>
      </c>
      <c r="E13" s="24" t="n">
        <v>117038</v>
      </c>
      <c r="F13" s="34" t="n">
        <v>152149</v>
      </c>
      <c r="G13" s="137" t="n"/>
    </row>
    <row r="14" ht="15" customHeight="1" s="180">
      <c r="B14" s="231" t="n"/>
      <c r="C14" s="2" t="inlineStr">
        <is>
          <t>A.7</t>
        </is>
      </c>
      <c r="D14" s="232" t="n">
        <v>103</v>
      </c>
      <c r="E14" s="24" t="n">
        <v>121331</v>
      </c>
      <c r="F14" s="34" t="n">
        <v>157731</v>
      </c>
      <c r="G14" s="137" t="n"/>
    </row>
    <row r="15" ht="15" customHeight="1" s="180" thickBot="1">
      <c r="B15" s="233" t="n"/>
      <c r="C15" s="11" t="inlineStr">
        <is>
          <t>A.8</t>
        </is>
      </c>
      <c r="D15" s="234" t="n">
        <v>107</v>
      </c>
      <c r="E15" s="25" t="n">
        <v>125627</v>
      </c>
      <c r="F15" s="35" t="n">
        <v>163316</v>
      </c>
      <c r="G15" s="137" t="n"/>
    </row>
    <row r="16" ht="15" customHeight="1" s="180">
      <c r="B16" s="236" t="inlineStr">
        <is>
          <t>Academic Level B
(Senior Research Associate)</t>
        </is>
      </c>
      <c r="C16" s="12" t="inlineStr">
        <is>
          <t>B.1</t>
        </is>
      </c>
      <c r="D16" s="235" t="n">
        <v>112</v>
      </c>
      <c r="E16" s="26" t="n">
        <v>132248</v>
      </c>
      <c r="F16" s="36" t="n">
        <v>171923</v>
      </c>
      <c r="G16" s="137" t="n"/>
    </row>
    <row r="17" ht="15" customHeight="1" s="180">
      <c r="B17" s="231" t="n"/>
      <c r="C17" s="3" t="inlineStr">
        <is>
          <t>B.2</t>
        </is>
      </c>
      <c r="D17" s="232" t="n">
        <v>116</v>
      </c>
      <c r="E17" s="24" t="n">
        <v>137203</v>
      </c>
      <c r="F17" s="34" t="n">
        <v>178364</v>
      </c>
      <c r="G17" s="137" t="n"/>
      <c r="I17" s="7" t="n"/>
    </row>
    <row r="18" ht="15" customHeight="1" s="180">
      <c r="B18" s="231" t="n"/>
      <c r="C18" s="3" t="inlineStr">
        <is>
          <t>B.3</t>
        </is>
      </c>
      <c r="D18" s="232" t="n">
        <v>121</v>
      </c>
      <c r="E18" s="24" t="n">
        <v>142161</v>
      </c>
      <c r="F18" s="34" t="n">
        <v>184810</v>
      </c>
      <c r="G18" s="137" t="n"/>
      <c r="I18" s="7" t="n"/>
    </row>
    <row r="19" ht="15" customHeight="1" s="180">
      <c r="B19" s="231" t="n"/>
      <c r="C19" s="3" t="inlineStr">
        <is>
          <t>B.4</t>
        </is>
      </c>
      <c r="D19" s="232" t="n">
        <v>125</v>
      </c>
      <c r="E19" s="24" t="n">
        <v>147118</v>
      </c>
      <c r="F19" s="34" t="n">
        <v>191254</v>
      </c>
      <c r="G19" s="137" t="n"/>
    </row>
    <row r="20" ht="15" customHeight="1" s="180">
      <c r="B20" s="231" t="n"/>
      <c r="C20" s="3" t="inlineStr">
        <is>
          <t>B.5</t>
        </is>
      </c>
      <c r="D20" s="232" t="n">
        <v>129</v>
      </c>
      <c r="E20" s="24" t="n">
        <v>152082</v>
      </c>
      <c r="F20" s="34" t="n">
        <v>197707</v>
      </c>
      <c r="G20" s="137" t="n"/>
    </row>
    <row r="21" ht="15" customHeight="1" s="180" thickBot="1">
      <c r="B21" s="233" t="n"/>
      <c r="C21" s="13" t="inlineStr">
        <is>
          <t>B.6</t>
        </is>
      </c>
      <c r="D21" s="234" t="n">
        <v>133</v>
      </c>
      <c r="E21" s="25" t="n">
        <v>157038</v>
      </c>
      <c r="F21" s="35" t="n">
        <v>204150</v>
      </c>
      <c r="G21" s="137" t="n"/>
    </row>
    <row r="22" ht="15" customHeight="1" s="180">
      <c r="B22" s="236" t="inlineStr">
        <is>
          <t>Academic Level C
(Senior Research Associate)</t>
        </is>
      </c>
      <c r="C22" s="12" t="inlineStr">
        <is>
          <t>C.1</t>
        </is>
      </c>
      <c r="D22" s="235" t="n">
        <v>137</v>
      </c>
      <c r="E22" s="26" t="n">
        <v>161994</v>
      </c>
      <c r="F22" s="36" t="n">
        <v>210593</v>
      </c>
      <c r="G22" s="137" t="n"/>
    </row>
    <row r="23" ht="15" customHeight="1" s="180">
      <c r="B23" s="231" t="n"/>
      <c r="C23" s="3" t="inlineStr">
        <is>
          <t>C.2</t>
        </is>
      </c>
      <c r="D23" s="232" t="n">
        <v>142</v>
      </c>
      <c r="E23" s="24" t="n">
        <v>166963</v>
      </c>
      <c r="F23" s="34" t="n">
        <v>217053</v>
      </c>
      <c r="G23" s="137" t="n"/>
    </row>
    <row r="24" ht="15" customHeight="1" s="180">
      <c r="B24" s="231" t="n"/>
      <c r="C24" s="3" t="inlineStr">
        <is>
          <t>C.3</t>
        </is>
      </c>
      <c r="D24" s="232" t="n">
        <v>146</v>
      </c>
      <c r="E24" s="24" t="n">
        <v>171914</v>
      </c>
      <c r="F24" s="34" t="n">
        <v>223489</v>
      </c>
      <c r="G24" s="137" t="n"/>
    </row>
    <row r="25" ht="15" customHeight="1" s="180">
      <c r="B25" s="231" t="n"/>
      <c r="C25" s="3" t="inlineStr">
        <is>
          <t>C.4</t>
        </is>
      </c>
      <c r="D25" s="232" t="n">
        <v>150</v>
      </c>
      <c r="E25" s="24" t="n">
        <v>176866</v>
      </c>
      <c r="F25" s="34" t="n">
        <v>229926</v>
      </c>
      <c r="G25" s="137" t="n"/>
      <c r="I25" s="7" t="n"/>
    </row>
    <row r="26" ht="15" customHeight="1" s="180">
      <c r="B26" s="231" t="n"/>
      <c r="C26" s="3" t="inlineStr">
        <is>
          <t>C.5</t>
        </is>
      </c>
      <c r="D26" s="232" t="n">
        <v>154</v>
      </c>
      <c r="E26" s="24" t="n">
        <v>181823</v>
      </c>
      <c r="F26" s="34" t="n">
        <v>236370</v>
      </c>
      <c r="G26" s="137" t="n"/>
      <c r="I26" s="7" t="n"/>
    </row>
    <row r="27" ht="15" customHeight="1" s="180" thickBot="1">
      <c r="B27" s="233" t="n"/>
      <c r="C27" s="13" t="inlineStr">
        <is>
          <t>C.6</t>
        </is>
      </c>
      <c r="D27" s="234" t="n">
        <v>158</v>
      </c>
      <c r="E27" s="25" t="n">
        <v>186788</v>
      </c>
      <c r="F27" s="35" t="n">
        <v>242824</v>
      </c>
      <c r="G27" s="137" t="n"/>
      <c r="I27" s="7" t="n"/>
    </row>
    <row r="28" ht="15" customHeight="1" s="180">
      <c r="B28" s="236" t="inlineStr">
        <is>
          <t>Academic Level D
(Associate Professor)</t>
        </is>
      </c>
      <c r="C28" s="12" t="inlineStr">
        <is>
          <t>D.1</t>
        </is>
      </c>
      <c r="D28" s="235" t="n">
        <v>165</v>
      </c>
      <c r="E28" s="26" t="n">
        <v>195056</v>
      </c>
      <c r="F28" s="36" t="n">
        <v>253573</v>
      </c>
      <c r="G28" s="137" t="n"/>
    </row>
    <row r="29" ht="15" customHeight="1" s="180">
      <c r="B29" s="231" t="n"/>
      <c r="C29" s="3" t="inlineStr">
        <is>
          <t>D.2</t>
        </is>
      </c>
      <c r="D29" s="232" t="n">
        <v>171</v>
      </c>
      <c r="E29" s="24" t="n">
        <v>201665</v>
      </c>
      <c r="F29" s="34" t="n">
        <v>262164</v>
      </c>
      <c r="G29" s="136" t="n"/>
      <c r="I29" s="7" t="n"/>
    </row>
    <row r="30" ht="15" customHeight="1" s="180">
      <c r="B30" s="231" t="n"/>
      <c r="C30" s="3" t="inlineStr">
        <is>
          <t>D.3</t>
        </is>
      </c>
      <c r="D30" s="232" t="n">
        <v>176</v>
      </c>
      <c r="E30" s="24" t="n">
        <v>208271</v>
      </c>
      <c r="F30" s="34" t="n">
        <v>270753</v>
      </c>
      <c r="G30" s="137" t="n"/>
    </row>
    <row r="31" ht="15" customHeight="1" s="180" thickBot="1">
      <c r="B31" s="233" t="n"/>
      <c r="C31" s="13" t="inlineStr">
        <is>
          <t>D.4</t>
        </is>
      </c>
      <c r="D31" s="234" t="n">
        <v>182</v>
      </c>
      <c r="E31" s="25" t="n">
        <v>214891</v>
      </c>
      <c r="F31" s="35" t="n">
        <v>279359</v>
      </c>
      <c r="G31" s="137" t="n"/>
    </row>
    <row r="32" ht="15" customHeight="1" s="180" thickBot="1">
      <c r="B32" s="14" t="inlineStr">
        <is>
          <t>Academic Level E (Professor)</t>
        </is>
      </c>
      <c r="C32" s="15" t="inlineStr">
        <is>
          <t>E.1</t>
        </is>
      </c>
      <c r="D32" s="237" t="n">
        <v>213</v>
      </c>
      <c r="E32" s="27" t="n">
        <v>251246</v>
      </c>
      <c r="F32" s="37" t="n">
        <v>326621</v>
      </c>
      <c r="G32" s="138" t="n"/>
    </row>
    <row r="33" ht="15" customHeight="1" s="180">
      <c r="B33" s="238" t="n"/>
      <c r="C33" s="239" t="n"/>
      <c r="D33" s="239" t="n"/>
      <c r="E33" s="239" t="n"/>
      <c r="F33" s="240" t="n"/>
      <c r="G33" s="16" t="n"/>
    </row>
    <row r="34" ht="18.75" customHeight="1" s="180" thickBot="1">
      <c r="B34" s="162" t="inlineStr">
        <is>
          <t>General and Technical Assistance/Professional Staff</t>
        </is>
      </c>
      <c r="C34" s="228" t="n"/>
      <c r="D34" s="228" t="n"/>
      <c r="E34" s="228" t="n"/>
      <c r="F34" s="228" t="n"/>
      <c r="G34" s="229" t="n"/>
    </row>
    <row r="35" ht="15" customHeight="1" s="180">
      <c r="B35" s="236" t="inlineStr">
        <is>
          <t>Higher Education Worker Grade 3</t>
        </is>
      </c>
      <c r="C35" s="10" t="inlineStr">
        <is>
          <t>HEW 3.1</t>
        </is>
      </c>
      <c r="D35" s="235" t="n">
        <v>63</v>
      </c>
      <c r="E35" s="26" t="n">
        <v>73790</v>
      </c>
      <c r="F35" s="36" t="n">
        <v>95927</v>
      </c>
      <c r="G35" s="241" t="n"/>
    </row>
    <row r="36" ht="15" customHeight="1" s="180">
      <c r="B36" s="231" t="n"/>
      <c r="C36" s="2" t="inlineStr">
        <is>
          <t>HEW 3.2</t>
        </is>
      </c>
      <c r="D36" s="232" t="n">
        <v>64</v>
      </c>
      <c r="E36" s="24" t="n">
        <v>75269</v>
      </c>
      <c r="F36" s="34" t="n">
        <v>97850</v>
      </c>
      <c r="G36" s="242" t="n"/>
    </row>
    <row r="37" ht="15" customHeight="1" s="180">
      <c r="B37" s="231" t="n"/>
      <c r="C37" s="2" t="inlineStr">
        <is>
          <t>HEW 3.3</t>
        </is>
      </c>
      <c r="D37" s="232" t="n">
        <v>65</v>
      </c>
      <c r="E37" s="24" t="n">
        <v>76769</v>
      </c>
      <c r="F37" s="34" t="n">
        <v>99800</v>
      </c>
      <c r="G37" s="242" t="n"/>
    </row>
    <row r="38" ht="15" customHeight="1" s="180">
      <c r="B38" s="231" t="n"/>
      <c r="C38" s="2" t="inlineStr">
        <is>
          <t>HEW 3.4</t>
        </is>
      </c>
      <c r="D38" s="232" t="n">
        <v>67</v>
      </c>
      <c r="E38" s="24" t="n">
        <v>78305</v>
      </c>
      <c r="F38" s="34" t="n">
        <v>101797</v>
      </c>
      <c r="G38" s="242" t="n"/>
    </row>
    <row r="39" ht="15" customHeight="1" s="180">
      <c r="B39" s="231" t="n"/>
      <c r="C39" s="2" t="inlineStr">
        <is>
          <t>HEW 3.5</t>
        </is>
      </c>
      <c r="D39" s="232" t="n">
        <v>68</v>
      </c>
      <c r="E39" s="24" t="n">
        <v>79875</v>
      </c>
      <c r="F39" s="34" t="n">
        <v>103839</v>
      </c>
      <c r="G39" s="242" t="n"/>
    </row>
    <row r="40" ht="15" customHeight="1" s="180" thickBot="1">
      <c r="B40" s="233" t="n"/>
      <c r="C40" s="11" t="inlineStr">
        <is>
          <t>HEW 3.6</t>
        </is>
      </c>
      <c r="D40" s="234" t="n">
        <v>69</v>
      </c>
      <c r="E40" s="25" t="n">
        <v>81472</v>
      </c>
      <c r="F40" s="35" t="n">
        <v>105914</v>
      </c>
      <c r="G40" s="242" t="n"/>
    </row>
    <row r="41" ht="15" customHeight="1" s="180">
      <c r="B41" s="236" t="inlineStr">
        <is>
          <t>Higher Education Worker Grade 4</t>
        </is>
      </c>
      <c r="C41" s="10" t="inlineStr">
        <is>
          <t>HEW 4.1</t>
        </is>
      </c>
      <c r="D41" s="235" t="n">
        <v>73</v>
      </c>
      <c r="E41" s="26" t="n">
        <v>85297</v>
      </c>
      <c r="F41" s="36" t="n">
        <v>110886</v>
      </c>
      <c r="G41" s="242" t="n"/>
    </row>
    <row r="42" ht="15" customHeight="1" s="180">
      <c r="B42" s="231" t="n"/>
      <c r="C42" s="2" t="inlineStr">
        <is>
          <t>HEW 4.2</t>
        </is>
      </c>
      <c r="D42" s="232" t="n">
        <v>74</v>
      </c>
      <c r="E42" s="24" t="n">
        <v>87006</v>
      </c>
      <c r="F42" s="34" t="n">
        <v>113108</v>
      </c>
      <c r="G42" s="242" t="n"/>
    </row>
    <row r="43" ht="15" customHeight="1" s="180">
      <c r="B43" s="231" t="n"/>
      <c r="C43" s="2" t="inlineStr">
        <is>
          <t>HEW 4.3</t>
        </is>
      </c>
      <c r="D43" s="232" t="n">
        <v>75</v>
      </c>
      <c r="E43" s="24" t="n">
        <v>88747</v>
      </c>
      <c r="F43" s="34" t="n">
        <v>115371</v>
      </c>
      <c r="G43" s="242" t="n"/>
    </row>
    <row r="44" ht="15" customHeight="1" s="180" thickBot="1">
      <c r="B44" s="233" t="n"/>
      <c r="C44" s="11" t="inlineStr">
        <is>
          <t>HEW 4.4</t>
        </is>
      </c>
      <c r="D44" s="234" t="n">
        <v>77</v>
      </c>
      <c r="E44" s="25" t="n">
        <v>90525</v>
      </c>
      <c r="F44" s="35" t="n">
        <v>117682</v>
      </c>
      <c r="G44" s="242" t="n"/>
    </row>
    <row r="45" ht="15" customHeight="1" s="180">
      <c r="B45" s="236" t="inlineStr">
        <is>
          <t>Higher Education Worker Grade 5</t>
        </is>
      </c>
      <c r="C45" s="10" t="inlineStr">
        <is>
          <t>HEW 5.1</t>
        </is>
      </c>
      <c r="D45" s="235" t="n">
        <v>78</v>
      </c>
      <c r="E45" s="26" t="n">
        <v>92238</v>
      </c>
      <c r="F45" s="36" t="n">
        <v>119909</v>
      </c>
      <c r="G45" s="242" t="n"/>
    </row>
    <row r="46" ht="15" customHeight="1" s="180">
      <c r="B46" s="231" t="n"/>
      <c r="C46" s="2" t="inlineStr">
        <is>
          <t>HEW 5.2</t>
        </is>
      </c>
      <c r="D46" s="232" t="n">
        <v>80</v>
      </c>
      <c r="E46" s="24" t="n">
        <v>94078</v>
      </c>
      <c r="F46" s="34" t="n">
        <v>122302</v>
      </c>
      <c r="G46" s="242" t="n"/>
    </row>
    <row r="47" ht="15" customHeight="1" s="180">
      <c r="B47" s="231" t="n"/>
      <c r="C47" s="2" t="inlineStr">
        <is>
          <t>HEW 5.3</t>
        </is>
      </c>
      <c r="D47" s="232" t="n">
        <v>82</v>
      </c>
      <c r="E47" s="24" t="n">
        <v>95957</v>
      </c>
      <c r="F47" s="34" t="n">
        <v>124744</v>
      </c>
      <c r="G47" s="242" t="n"/>
    </row>
    <row r="48" ht="15" customHeight="1" s="180">
      <c r="B48" s="231" t="n"/>
      <c r="C48" s="2" t="inlineStr">
        <is>
          <t>HEW 5.4</t>
        </is>
      </c>
      <c r="D48" s="232" t="n">
        <v>83</v>
      </c>
      <c r="E48" s="24" t="n">
        <v>97878</v>
      </c>
      <c r="F48" s="34" t="n">
        <v>127241</v>
      </c>
      <c r="G48" s="242" t="n"/>
    </row>
    <row r="49" ht="15" customHeight="1" s="180">
      <c r="B49" s="231" t="n"/>
      <c r="C49" s="2" t="inlineStr">
        <is>
          <t>HEW 5.5</t>
        </is>
      </c>
      <c r="D49" s="232" t="n">
        <v>85</v>
      </c>
      <c r="E49" s="24" t="n">
        <v>99833</v>
      </c>
      <c r="F49" s="34" t="n">
        <v>129783</v>
      </c>
      <c r="G49" s="242" t="n"/>
    </row>
    <row r="50" ht="15" customHeight="1" s="180">
      <c r="B50" s="231" t="n"/>
      <c r="C50" s="2" t="inlineStr">
        <is>
          <t>HEW 5.6</t>
        </is>
      </c>
      <c r="D50" s="232" t="n">
        <v>87</v>
      </c>
      <c r="E50" s="24" t="n">
        <v>101838</v>
      </c>
      <c r="F50" s="34" t="n">
        <v>132390</v>
      </c>
      <c r="G50" s="242" t="n"/>
    </row>
    <row r="51" ht="15" customHeight="1" s="180">
      <c r="B51" s="231" t="n"/>
      <c r="C51" s="2" t="inlineStr">
        <is>
          <t>HEW 5.7</t>
        </is>
      </c>
      <c r="D51" s="232" t="n">
        <v>88</v>
      </c>
      <c r="E51" s="24" t="n">
        <v>103867</v>
      </c>
      <c r="F51" s="34" t="n">
        <v>135028</v>
      </c>
      <c r="G51" s="242" t="n"/>
    </row>
    <row r="52" ht="15" customHeight="1" s="180" thickBot="1">
      <c r="B52" s="233" t="n"/>
      <c r="C52" s="11" t="inlineStr">
        <is>
          <t>HEW 5.8</t>
        </is>
      </c>
      <c r="D52" s="234" t="n">
        <v>90</v>
      </c>
      <c r="E52" s="25" t="n">
        <v>105946</v>
      </c>
      <c r="F52" s="35" t="n">
        <v>137730</v>
      </c>
      <c r="G52" s="242" t="n"/>
    </row>
    <row r="53" ht="15" customHeight="1" s="180">
      <c r="B53" s="236" t="inlineStr">
        <is>
          <t>Higher Education Worker Grade 6</t>
        </is>
      </c>
      <c r="C53" s="10" t="inlineStr">
        <is>
          <t>HEW 6.1</t>
        </is>
      </c>
      <c r="D53" s="235" t="n">
        <v>91</v>
      </c>
      <c r="E53" s="26" t="n">
        <v>106989</v>
      </c>
      <c r="F53" s="36" t="n">
        <v>139086</v>
      </c>
      <c r="G53" s="242" t="n"/>
    </row>
    <row r="54" ht="15" customHeight="1" s="180">
      <c r="B54" s="231" t="n"/>
      <c r="C54" s="2" t="inlineStr">
        <is>
          <t>HEW 6.2</t>
        </is>
      </c>
      <c r="D54" s="232" t="n">
        <v>93</v>
      </c>
      <c r="E54" s="24" t="n">
        <v>109134</v>
      </c>
      <c r="F54" s="34" t="n">
        <v>141874</v>
      </c>
      <c r="G54" s="242" t="n"/>
    </row>
    <row r="55" ht="15" customHeight="1" s="180">
      <c r="B55" s="231" t="n"/>
      <c r="C55" s="2" t="inlineStr">
        <is>
          <t>HEW 6.3</t>
        </is>
      </c>
      <c r="D55" s="232" t="n">
        <v>95</v>
      </c>
      <c r="E55" s="24" t="n">
        <v>111307</v>
      </c>
      <c r="F55" s="34" t="n">
        <v>144699</v>
      </c>
      <c r="G55" s="242" t="n"/>
    </row>
    <row r="56" ht="15" customHeight="1" s="180">
      <c r="B56" s="231" t="n"/>
      <c r="C56" s="2" t="inlineStr">
        <is>
          <t>HEW 6.4</t>
        </is>
      </c>
      <c r="D56" s="232" t="n">
        <v>96</v>
      </c>
      <c r="E56" s="24" t="n">
        <v>113537</v>
      </c>
      <c r="F56" s="34" t="n">
        <v>147598</v>
      </c>
      <c r="G56" s="242" t="n"/>
    </row>
    <row r="57" ht="15" customHeight="1" s="180" thickBot="1">
      <c r="B57" s="233" t="n"/>
      <c r="C57" s="11" t="inlineStr">
        <is>
          <t>HEW 6.5</t>
        </is>
      </c>
      <c r="D57" s="234" t="n">
        <v>98</v>
      </c>
      <c r="E57" s="25" t="n">
        <v>115812</v>
      </c>
      <c r="F57" s="35" t="n">
        <v>150555</v>
      </c>
      <c r="G57" s="242" t="n"/>
    </row>
    <row r="58" ht="15" customHeight="1" s="180">
      <c r="B58" s="236" t="inlineStr">
        <is>
          <t>Higher Education Worker Grade 7</t>
        </is>
      </c>
      <c r="C58" s="10" t="inlineStr">
        <is>
          <t>HEW 7.1</t>
        </is>
      </c>
      <c r="D58" s="235" t="n">
        <v>100</v>
      </c>
      <c r="E58" s="26" t="n">
        <v>118051</v>
      </c>
      <c r="F58" s="36" t="n">
        <v>153467</v>
      </c>
      <c r="G58" s="242" t="n"/>
    </row>
    <row r="59" ht="15" customHeight="1" s="180">
      <c r="B59" s="231" t="n"/>
      <c r="C59" s="2" t="inlineStr">
        <is>
          <t>HEW 7.2</t>
        </is>
      </c>
      <c r="D59" s="232" t="n">
        <v>102</v>
      </c>
      <c r="E59" s="24" t="n">
        <v>120418</v>
      </c>
      <c r="F59" s="34" t="n">
        <v>156544</v>
      </c>
      <c r="G59" s="242" t="n"/>
    </row>
    <row r="60" ht="15" customHeight="1" s="180">
      <c r="B60" s="231" t="n"/>
      <c r="C60" s="2" t="inlineStr">
        <is>
          <t>HEW 7.3</t>
        </is>
      </c>
      <c r="D60" s="232" t="n">
        <v>104</v>
      </c>
      <c r="E60" s="24" t="n">
        <v>122823</v>
      </c>
      <c r="F60" s="34" t="n">
        <v>159670</v>
      </c>
      <c r="G60" s="242" t="n"/>
    </row>
    <row r="61" ht="15" customHeight="1" s="180">
      <c r="B61" s="231" t="n"/>
      <c r="C61" s="2" t="inlineStr">
        <is>
          <t>HEW 7.4</t>
        </is>
      </c>
      <c r="D61" s="232" t="n">
        <v>106</v>
      </c>
      <c r="E61" s="24" t="n">
        <v>125278</v>
      </c>
      <c r="F61" s="34" t="n">
        <v>162862</v>
      </c>
      <c r="G61" s="242" t="n"/>
    </row>
    <row r="62" ht="15" customHeight="1" s="180" thickBot="1">
      <c r="B62" s="233" t="n"/>
      <c r="C62" s="11" t="inlineStr">
        <is>
          <t>HEW 7.5</t>
        </is>
      </c>
      <c r="D62" s="234" t="n">
        <v>108</v>
      </c>
      <c r="E62" s="25" t="n">
        <v>127788</v>
      </c>
      <c r="F62" s="35" t="n">
        <v>166125</v>
      </c>
      <c r="G62" s="242" t="n"/>
    </row>
    <row r="63" ht="15" customHeight="1" s="180">
      <c r="B63" s="236" t="inlineStr">
        <is>
          <t>Higher Education Worker Grade 8</t>
        </is>
      </c>
      <c r="C63" s="10" t="inlineStr">
        <is>
          <t>HEW 8.1</t>
        </is>
      </c>
      <c r="D63" s="235" t="n">
        <v>113</v>
      </c>
      <c r="E63" s="26" t="n">
        <v>132815</v>
      </c>
      <c r="F63" s="36" t="n">
        <v>172660</v>
      </c>
      <c r="G63" s="242" t="n"/>
    </row>
    <row r="64" ht="15" customHeight="1" s="180">
      <c r="B64" s="231" t="n"/>
      <c r="C64" s="2" t="inlineStr">
        <is>
          <t>HEW 8.2</t>
        </is>
      </c>
      <c r="D64" s="232" t="n">
        <v>115</v>
      </c>
      <c r="E64" s="24" t="n">
        <v>135467</v>
      </c>
      <c r="F64" s="34" t="n">
        <v>176108</v>
      </c>
      <c r="G64" s="242" t="n"/>
    </row>
    <row r="65" ht="15" customHeight="1" s="180">
      <c r="B65" s="231" t="n"/>
      <c r="C65" s="2" t="inlineStr">
        <is>
          <t>HEW 8.3</t>
        </is>
      </c>
      <c r="D65" s="232" t="n">
        <v>117</v>
      </c>
      <c r="E65" s="24" t="n">
        <v>138173</v>
      </c>
      <c r="F65" s="34" t="n">
        <v>179626</v>
      </c>
      <c r="G65" s="242" t="n"/>
    </row>
    <row r="66" ht="15" customHeight="1" s="180">
      <c r="B66" s="231" t="n"/>
      <c r="C66" s="2" t="inlineStr">
        <is>
          <t>HEW 8.4</t>
        </is>
      </c>
      <c r="D66" s="232" t="n">
        <v>120</v>
      </c>
      <c r="E66" s="24" t="n">
        <v>140939</v>
      </c>
      <c r="F66" s="34" t="n">
        <v>183222</v>
      </c>
      <c r="G66" s="242" t="n"/>
    </row>
    <row r="67" ht="15" customHeight="1" s="180" thickBot="1">
      <c r="B67" s="233" t="n"/>
      <c r="C67" s="11" t="inlineStr">
        <is>
          <t>HEW 8.5</t>
        </is>
      </c>
      <c r="D67" s="234" t="n">
        <v>122</v>
      </c>
      <c r="E67" s="25" t="n">
        <v>143756</v>
      </c>
      <c r="F67" s="35" t="n">
        <v>186883</v>
      </c>
      <c r="G67" s="242" t="n"/>
    </row>
    <row r="68" ht="15" customHeight="1" s="180">
      <c r="B68" s="236" t="inlineStr">
        <is>
          <t>Higher Education Worker Grade 9</t>
        </is>
      </c>
      <c r="C68" s="10" t="inlineStr">
        <is>
          <t>HEW 9.1</t>
        </is>
      </c>
      <c r="D68" s="235" t="n">
        <v>131</v>
      </c>
      <c r="E68" s="26" t="n">
        <v>154943</v>
      </c>
      <c r="F68" s="36" t="n">
        <v>201426</v>
      </c>
      <c r="G68" s="242" t="n"/>
    </row>
    <row r="69" ht="15" customHeight="1" s="180">
      <c r="B69" s="231" t="n"/>
      <c r="C69" s="2" t="inlineStr">
        <is>
          <t>HEW 9.2</t>
        </is>
      </c>
      <c r="D69" s="232" t="n">
        <v>134</v>
      </c>
      <c r="E69" s="24" t="n">
        <v>158036</v>
      </c>
      <c r="F69" s="34" t="n">
        <v>205447</v>
      </c>
      <c r="G69" s="242" t="n"/>
      <c r="J69" t="inlineStr">
        <is>
          <t> </t>
        </is>
      </c>
    </row>
    <row r="70" ht="15" customHeight="1" s="180" thickBot="1">
      <c r="B70" s="233" t="n"/>
      <c r="C70" s="11" t="inlineStr">
        <is>
          <t>HEW 9.3</t>
        </is>
      </c>
      <c r="D70" s="234" t="n">
        <v>137</v>
      </c>
      <c r="E70" s="25" t="n">
        <v>161205</v>
      </c>
      <c r="F70" s="35" t="n">
        <v>209567</v>
      </c>
      <c r="G70" s="243" t="n"/>
    </row>
    <row r="71">
      <c r="B71" s="244" t="n"/>
      <c r="F71" s="245" t="n"/>
      <c r="G71" s="21" t="n"/>
    </row>
    <row r="72" ht="18.5" customHeight="1" s="180">
      <c r="B72" s="144" t="inlineStr">
        <is>
          <t>Notes</t>
        </is>
      </c>
      <c r="C72" s="226" t="n"/>
      <c r="D72" s="226" t="n"/>
      <c r="E72" s="226" t="n"/>
      <c r="F72" s="226" t="n"/>
      <c r="G72" s="227" t="n"/>
    </row>
    <row r="73" ht="66.75" customHeight="1" s="180">
      <c r="B73" s="140" t="inlineStr">
        <is>
          <t>1. Rates are based on current UoM salary scales (effective 1 Nov 2025). 3.0% annual pay increases are forecast for 2026 and 2027, in line with the current UoM RCPT (v4.3.2).
An on-cost rate of 30% (as per ARC Grant Guideline requirements) has been added to derive the 2027 salary rate.
UoM salaries must be budgeted inclusive of on-costs.
30% on-costs do not apply to stipends.</t>
        </is>
      </c>
      <c r="C73" s="226" t="n"/>
      <c r="D73" s="226" t="n"/>
      <c r="E73" s="226" t="n"/>
      <c r="F73" s="226" t="n"/>
      <c r="G73" s="227" t="n"/>
      <c r="I73" s="6" t="n"/>
    </row>
    <row r="74" ht="102.65" customHeight="1" s="180">
      <c r="B74" s="140" t="inlineStr">
        <is>
          <t>2. Salary contributions must be budgeted according to the amount of time staff will be spending on the project expressed as a proportion of 'Full Time Equivalent' (FTE). 
5 days/week = 1.0FTE (1 full time position)
1 day/week = 0.2FTE
Example: A Level A.6 Research Assistant will be employed for two days per week (0.4FTE) for one year
Salary Calculation: 0.4*152149 = 60859.60
The budget should request $60,860 from the ARC in the relevant year to fund this position</t>
        </is>
      </c>
      <c r="C74" s="226" t="n"/>
      <c r="D74" s="226" t="n"/>
      <c r="E74" s="226" t="n"/>
      <c r="F74" s="226" t="n"/>
      <c r="G74" s="227" t="n"/>
    </row>
    <row r="75" ht="62.25" customHeight="1" s="180">
      <c r="B75" s="140" t="inlineStr">
        <is>
          <t>3. Salaries increase by one increment step per year until the highest increment step (number e.g. 1, 2, 3) for that level (letter e.g. A, B, C) is reached.
Example 1: A Level A.6 Research Associate will be employed for 3 years. They should be budgeted at A.6 in Year 1, A.7 in Year 2, and A.8 in Year 3.
Example 2: A Level B.5 Senior Research Associate will be employed for 3 years. They should be budgeted at B.5 in Year 1, and B.6 for Year 2 and 3 (As B.6 is the highest step within Academic Level B).</t>
        </is>
      </c>
      <c r="C75" s="226" t="n"/>
      <c r="D75" s="226" t="n"/>
      <c r="E75" s="226" t="n"/>
      <c r="F75" s="226" t="n"/>
      <c r="G75" s="227" t="n"/>
    </row>
    <row r="76" ht="21.65" customHeight="1" s="180">
      <c r="B76" s="140" t="inlineStr">
        <is>
          <t>4. Do not index salaries or other expenses. The ARC will index amounts annually according to rates as current at that time.</t>
        </is>
      </c>
      <c r="C76" s="226" t="n"/>
      <c r="D76" s="226" t="n"/>
      <c r="E76" s="226" t="n"/>
      <c r="F76" s="226" t="n"/>
      <c r="G76" s="227" t="n"/>
    </row>
    <row r="77" ht="152.25" customHeight="1" s="180" thickBot="1">
      <c r="B77" s="147" t="inlineStr">
        <is>
          <t>5. HDR stipends can either be funded by the ARC or by the Admin Org/Partner Orgs.
PhD stipends must be paid at the UoM rates (listed above). However you cannot request ARC funds to top up stipends.
Stipends wholly-funded by UoM must be requested at the rates listed above (unless your Faculty has instructed otherwise). These rates are taken from the current UoM RCPT (v4.3.2).
Partner Organisation stipends (e.g., a stipend funded by another university) can be funded at the applicable university's rates. 
Stipends should be incremented annually (as per the rates listed above).
Stipend top-up amounts are a Department/School/Faculty cost and applicants must discuss and confirm with their Faculty/Department how this will be funded prior to grant submission.</t>
        </is>
      </c>
      <c r="C77" s="228" t="n"/>
      <c r="D77" s="228" t="n"/>
      <c r="E77" s="228" t="n"/>
      <c r="F77" s="228" t="n"/>
      <c r="G77" s="229" t="n"/>
    </row>
    <row r="78" ht="30" customHeight="1" s="180">
      <c r="B78" s="140" t="inlineStr">
        <is>
          <t xml:space="preserve">6. Current year ARC salaries and stipends are published at: https://www.arc.gov.au/funding-research/apply-funding/grant-application/salaries-and-stipends
</t>
        </is>
      </c>
      <c r="C78" s="226" t="n"/>
      <c r="D78" s="226" t="n"/>
      <c r="E78" s="226" t="n"/>
      <c r="F78" s="226" t="n"/>
      <c r="G78" s="227" t="n"/>
    </row>
  </sheetData>
  <mergeCells count="30">
    <mergeCell ref="B35:B40"/>
    <mergeCell ref="B45:B52"/>
    <mergeCell ref="B53:B57"/>
    <mergeCell ref="B22:B27"/>
    <mergeCell ref="I1:L1"/>
    <mergeCell ref="B68:B70"/>
    <mergeCell ref="B1:G1"/>
    <mergeCell ref="B16:B21"/>
    <mergeCell ref="B73:G73"/>
    <mergeCell ref="B71:F71"/>
    <mergeCell ref="M1:M77"/>
    <mergeCell ref="B78:G78"/>
    <mergeCell ref="B5:B7"/>
    <mergeCell ref="B34:G34"/>
    <mergeCell ref="B63:B67"/>
    <mergeCell ref="B74:G74"/>
    <mergeCell ref="B28:B31"/>
    <mergeCell ref="B76:G76"/>
    <mergeCell ref="B4:G4"/>
    <mergeCell ref="B75:G75"/>
    <mergeCell ref="B72:G72"/>
    <mergeCell ref="B3:G3"/>
    <mergeCell ref="B58:B62"/>
    <mergeCell ref="A1:A77"/>
    <mergeCell ref="B8:B12"/>
    <mergeCell ref="B13:B15"/>
    <mergeCell ref="B33:F33"/>
    <mergeCell ref="H1:H77"/>
    <mergeCell ref="B41:B44"/>
    <mergeCell ref="B77:G77"/>
  </mergeCells>
  <pageMargins left="0.2362204724409449" right="0.2362204724409449" top="0.7480314960629921" bottom="0.7480314960629921" header="0.3149606299212598" footer="0.3149606299212598"/>
  <pageSetup orientation="portrait" paperSize="9" scale="47" fitToHeight="2"/>
</worksheet>
</file>

<file path=xl/worksheets/sheet2.xml><?xml version="1.0" encoding="utf-8"?>
<worksheet xmlns="http://schemas.openxmlformats.org/spreadsheetml/2006/main" xmlns:ns1="http://schemas.openxmlformats.org/officeDocument/2006/relationships">
  <sheetPr>
    <outlinePr summaryBelow="0"/>
    <pageSetUpPr/>
  </sheetPr>
  <dimension ref="A1:AK1048576"/>
  <sheetViews>
    <sheetView workbookViewId="0">
      <selection activeCell="F20" sqref="F20"/>
    </sheetView>
  </sheetViews>
  <sheetFormatPr baseColWidth="8" defaultRowHeight="14.5" outlineLevelRow="1"/>
  <cols>
    <col width="33.54296875" customWidth="1" style="180" min="1" max="1"/>
    <col width="28.54296875" customWidth="1" style="180" min="2" max="2"/>
    <col width="15.7265625" customWidth="1" style="180" min="3" max="37"/>
  </cols>
  <sheetData>
    <row r="1" ht="122.5" customHeight="1" s="180">
      <c r="A1" s="189" t="inlineStr">
        <is>
          <t>DP25 Detailed Budget Template</t>
        </is>
      </c>
    </row>
    <row r="2" ht="12.65" customHeight="1" s="180">
      <c r="A2" t="inlineStr">
        <is>
          <t>TOTAL PERSONNEL (ARC)</t>
        </is>
      </c>
      <c r="B2" s="246">
        <f>SUM(C14,J14,Q14,X14,AE14)</f>
        <v/>
      </c>
    </row>
    <row r="3" ht="12.65" customHeight="1" s="180">
      <c r="A3" t="inlineStr">
        <is>
          <t>TOTAL TEACHING RELIEF (ARC)</t>
        </is>
      </c>
      <c r="B3" s="246">
        <f>SUM(C35,J35,Q35,X35,AE35)</f>
        <v/>
      </c>
    </row>
    <row r="4" ht="12.65" customHeight="1" s="180">
      <c r="A4" t="inlineStr">
        <is>
          <t>TOTAL TRAVEL (ARC)</t>
        </is>
      </c>
      <c r="B4" s="246">
        <f>SUM(C46,J46,Q46,X46,AE46)</f>
        <v/>
      </c>
    </row>
    <row r="5" ht="12.65" customHeight="1" s="180">
      <c r="A5" t="inlineStr">
        <is>
          <t>TOTAL FIELD RESEARCH (ARC)</t>
        </is>
      </c>
      <c r="B5" s="246">
        <f>SUM(C66,J66,Q66,X66, AE66)</f>
        <v/>
      </c>
    </row>
    <row r="6" ht="12.65" customHeight="1" s="180">
      <c r="A6" t="inlineStr">
        <is>
          <t>TOTAL EQUIPMENT (ARC)</t>
        </is>
      </c>
      <c r="B6" s="246">
        <f>SUM(C87,J87,Q87,X87,AE87)</f>
        <v/>
      </c>
    </row>
    <row r="7" ht="12.65" customHeight="1" s="180">
      <c r="A7" t="inlineStr">
        <is>
          <t>TOTAL MAINTENANCE (ARC)</t>
        </is>
      </c>
      <c r="B7" s="246">
        <f>SUM(C108,J108,Q108,X108,AE108)</f>
        <v/>
      </c>
    </row>
    <row r="8" ht="12.65" customHeight="1" s="180" thickBot="1">
      <c r="A8" t="inlineStr">
        <is>
          <t>TOTAL OTHER (ARC)</t>
        </is>
      </c>
      <c r="B8" s="246">
        <f>SUM(C129,J129,Q129,X129,AE129)</f>
        <v/>
      </c>
    </row>
    <row r="9" ht="14.5" customHeight="1" s="180" thickBot="1">
      <c r="A9" s="4" t="inlineStr">
        <is>
          <t>TOTAL REQUESTED ARC FUNDING</t>
        </is>
      </c>
      <c r="B9" s="247">
        <f>SUM(B2:B8)</f>
        <v/>
      </c>
      <c r="C9" s="248" t="inlineStr">
        <is>
          <t>YEAR 1 BUDGET (2027)</t>
        </is>
      </c>
      <c r="D9" s="239" t="n"/>
      <c r="E9" s="239" t="n"/>
      <c r="F9" s="239" t="n"/>
      <c r="G9" s="239" t="n"/>
      <c r="H9" s="239" t="n"/>
      <c r="I9" s="179" t="n"/>
      <c r="J9" s="248" t="inlineStr">
        <is>
          <t>YEAR 2 BUDGET (2028)</t>
        </is>
      </c>
      <c r="K9" s="239" t="n"/>
      <c r="L9" s="239" t="n"/>
      <c r="M9" s="239" t="n"/>
      <c r="N9" s="239" t="n"/>
      <c r="O9" s="239" t="n"/>
      <c r="P9" s="179" t="n"/>
      <c r="Q9" s="248" t="inlineStr">
        <is>
          <t>YEAR 3 BUDGET (2029)</t>
        </is>
      </c>
      <c r="R9" s="239" t="n"/>
      <c r="S9" s="239" t="n"/>
      <c r="T9" s="239" t="n"/>
      <c r="U9" s="239" t="n"/>
      <c r="V9" s="239" t="n"/>
      <c r="W9" s="179" t="n"/>
      <c r="X9" s="248" t="inlineStr">
        <is>
          <t>YEAR 4 BUDGET (2030)</t>
        </is>
      </c>
      <c r="Y9" s="239" t="n"/>
      <c r="Z9" s="239" t="n"/>
      <c r="AA9" s="239" t="n"/>
      <c r="AB9" s="239" t="n"/>
      <c r="AC9" s="239" t="n"/>
      <c r="AD9" s="179" t="n"/>
      <c r="AE9" s="248" t="inlineStr">
        <is>
          <t>YEAR 5 BUDGET (2031)</t>
        </is>
      </c>
      <c r="AF9" s="239" t="n"/>
      <c r="AG9" s="239" t="n"/>
      <c r="AH9" s="239" t="n"/>
      <c r="AI9" s="239" t="n"/>
      <c r="AJ9" s="239" t="n"/>
      <c r="AK9" s="179" t="n"/>
    </row>
    <row r="10" ht="14.5" customHeight="1" s="180">
      <c r="A10" s="249" t="inlineStr">
        <is>
          <t xml:space="preserve">Description </t>
        </is>
      </c>
      <c r="B10" s="179" t="n"/>
      <c r="C10" s="194" t="inlineStr">
        <is>
          <t>ARC</t>
        </is>
      </c>
      <c r="D10" s="250" t="inlineStr">
        <is>
          <t>Admin Org</t>
        </is>
      </c>
      <c r="E10" s="251" t="n"/>
      <c r="F10" s="250" t="inlineStr">
        <is>
          <t>Other Eligible Org</t>
        </is>
      </c>
      <c r="G10" s="251" t="n"/>
      <c r="H10" s="182" t="inlineStr">
        <is>
          <t>Other Org</t>
        </is>
      </c>
      <c r="I10" s="251" t="n"/>
      <c r="J10" s="194" t="inlineStr">
        <is>
          <t>ARC</t>
        </is>
      </c>
      <c r="K10" s="250" t="inlineStr">
        <is>
          <t>Admin Org</t>
        </is>
      </c>
      <c r="L10" s="251" t="n"/>
      <c r="M10" s="250" t="inlineStr">
        <is>
          <t>Other Eligible Org</t>
        </is>
      </c>
      <c r="N10" s="251" t="n"/>
      <c r="O10" s="182" t="inlineStr">
        <is>
          <t>Other Org</t>
        </is>
      </c>
      <c r="P10" s="251" t="n"/>
      <c r="Q10" s="194" t="inlineStr">
        <is>
          <t>ARC</t>
        </is>
      </c>
      <c r="R10" s="250" t="inlineStr">
        <is>
          <t>Admin Org</t>
        </is>
      </c>
      <c r="S10" s="251" t="n"/>
      <c r="T10" s="250" t="inlineStr">
        <is>
          <t>Other Eligible Org</t>
        </is>
      </c>
      <c r="U10" s="251" t="n"/>
      <c r="V10" s="182" t="inlineStr">
        <is>
          <t>Other Org</t>
        </is>
      </c>
      <c r="W10" s="251" t="n"/>
      <c r="X10" s="194" t="inlineStr">
        <is>
          <t>ARC</t>
        </is>
      </c>
      <c r="Y10" s="250" t="inlineStr">
        <is>
          <t>Admin Org</t>
        </is>
      </c>
      <c r="Z10" s="251" t="n"/>
      <c r="AA10" s="250" t="inlineStr">
        <is>
          <t>Other Eligible Org</t>
        </is>
      </c>
      <c r="AB10" s="251" t="n"/>
      <c r="AC10" s="182" t="inlineStr">
        <is>
          <t>Other Org</t>
        </is>
      </c>
      <c r="AD10" s="251" t="n"/>
      <c r="AE10" s="194" t="inlineStr">
        <is>
          <t>ARC</t>
        </is>
      </c>
      <c r="AF10" s="250" t="inlineStr">
        <is>
          <t>Admin Org</t>
        </is>
      </c>
      <c r="AG10" s="251" t="n"/>
      <c r="AH10" s="250" t="inlineStr">
        <is>
          <t>Other Eligible Org</t>
        </is>
      </c>
      <c r="AI10" s="251" t="n"/>
      <c r="AJ10" s="250" t="inlineStr">
        <is>
          <t>Other Org</t>
        </is>
      </c>
      <c r="AK10" s="251" t="n"/>
    </row>
    <row r="11" ht="21" customHeight="1" s="180" thickBot="1">
      <c r="A11" s="172" t="n"/>
      <c r="B11" s="173" t="n"/>
      <c r="C11" s="58" t="inlineStr">
        <is>
          <t>Cash</t>
        </is>
      </c>
      <c r="D11" s="46" t="inlineStr">
        <is>
          <t>Cash</t>
        </is>
      </c>
      <c r="E11" s="47" t="inlineStr">
        <is>
          <t>In-Kind</t>
        </is>
      </c>
      <c r="F11" s="46" t="inlineStr">
        <is>
          <t>Cash</t>
        </is>
      </c>
      <c r="G11" s="47" t="inlineStr">
        <is>
          <t>In-Kind</t>
        </is>
      </c>
      <c r="H11" s="49" t="inlineStr">
        <is>
          <t>Cash</t>
        </is>
      </c>
      <c r="I11" s="47" t="inlineStr">
        <is>
          <t>In-Kind</t>
        </is>
      </c>
      <c r="J11" s="58" t="inlineStr">
        <is>
          <t>Cash</t>
        </is>
      </c>
      <c r="K11" s="46" t="inlineStr">
        <is>
          <t>Cash</t>
        </is>
      </c>
      <c r="L11" s="47" t="inlineStr">
        <is>
          <t>In-Kind</t>
        </is>
      </c>
      <c r="M11" s="46" t="inlineStr">
        <is>
          <t>Cash</t>
        </is>
      </c>
      <c r="N11" s="47" t="inlineStr">
        <is>
          <t>In-Kind</t>
        </is>
      </c>
      <c r="O11" s="49" t="inlineStr">
        <is>
          <t>Cash</t>
        </is>
      </c>
      <c r="P11" s="47" t="inlineStr">
        <is>
          <t>In-Kind</t>
        </is>
      </c>
      <c r="Q11" s="58" t="inlineStr">
        <is>
          <t>Cash</t>
        </is>
      </c>
      <c r="R11" s="46" t="inlineStr">
        <is>
          <t>Cash</t>
        </is>
      </c>
      <c r="S11" s="47" t="inlineStr">
        <is>
          <t>In-Kind</t>
        </is>
      </c>
      <c r="T11" s="46" t="inlineStr">
        <is>
          <t>Cash</t>
        </is>
      </c>
      <c r="U11" s="47" t="inlineStr">
        <is>
          <t>In-Kind</t>
        </is>
      </c>
      <c r="V11" s="49" t="inlineStr">
        <is>
          <t>Cash</t>
        </is>
      </c>
      <c r="W11" s="47" t="inlineStr">
        <is>
          <t>In-Kind</t>
        </is>
      </c>
      <c r="X11" s="58" t="inlineStr">
        <is>
          <t>Cash</t>
        </is>
      </c>
      <c r="Y11" s="46" t="inlineStr">
        <is>
          <t>Cash</t>
        </is>
      </c>
      <c r="Z11" s="47" t="inlineStr">
        <is>
          <t>In-Kind</t>
        </is>
      </c>
      <c r="AA11" s="46" t="inlineStr">
        <is>
          <t>Cash</t>
        </is>
      </c>
      <c r="AB11" s="47" t="inlineStr">
        <is>
          <t>In-Kind</t>
        </is>
      </c>
      <c r="AC11" s="49" t="inlineStr">
        <is>
          <t>Cash</t>
        </is>
      </c>
      <c r="AD11" s="47" t="inlineStr">
        <is>
          <t>In-Kind</t>
        </is>
      </c>
      <c r="AE11" s="58" t="inlineStr">
        <is>
          <t>Cash</t>
        </is>
      </c>
      <c r="AF11" s="46" t="inlineStr">
        <is>
          <t>Cash</t>
        </is>
      </c>
      <c r="AG11" s="47" t="inlineStr">
        <is>
          <t>In-Kind</t>
        </is>
      </c>
      <c r="AH11" s="46" t="inlineStr">
        <is>
          <t>Cash</t>
        </is>
      </c>
      <c r="AI11" s="47" t="inlineStr">
        <is>
          <t>In-Kind</t>
        </is>
      </c>
      <c r="AJ11" s="58" t="inlineStr">
        <is>
          <t>Cash</t>
        </is>
      </c>
      <c r="AK11" s="47" t="inlineStr">
        <is>
          <t>In-Kind</t>
        </is>
      </c>
    </row>
    <row r="12" ht="27" customFormat="1" customHeight="1" s="48" thickBot="1">
      <c r="A12" s="252" t="inlineStr">
        <is>
          <t>PROJECT TOTAL</t>
        </is>
      </c>
      <c r="B12" s="198" t="n"/>
      <c r="C12" s="253">
        <f>SUM(C14,C35,C46,C66,C87,C108,C129)</f>
        <v/>
      </c>
      <c r="D12" s="253">
        <f>SUM(D14,D35,D46,D66,D87,D108,D129)</f>
        <v/>
      </c>
      <c r="E12" s="253">
        <f>SUM(E14,E35,E46,E66,E87,E108,E129)</f>
        <v/>
      </c>
      <c r="F12" s="253">
        <f>SUM(F14,F35,F46,F66,F87,F108,F129)</f>
        <v/>
      </c>
      <c r="G12" s="253">
        <f>SUM(G14,G35,G46,G66,G87,G108,G129)</f>
        <v/>
      </c>
      <c r="H12" s="253">
        <f>SUM(H14,H35,H46,H66,H87,H108,H129)</f>
        <v/>
      </c>
      <c r="I12" s="253">
        <f>SUM(I14,I35,I46,I66,I87,I108,I129)</f>
        <v/>
      </c>
      <c r="J12" s="253">
        <f>SUM(J14,J35,J46,J66,J87,J108,J129)</f>
        <v/>
      </c>
      <c r="K12" s="253">
        <f>SUM(K14,K35,K46,K66,K87,K108,K129)</f>
        <v/>
      </c>
      <c r="L12" s="253">
        <f>SUM(L14,L35,L46,L66,L87,L108,L129)</f>
        <v/>
      </c>
      <c r="M12" s="253">
        <f>SUM(M14,M35,M46,M66,M87,M108,M129)</f>
        <v/>
      </c>
      <c r="N12" s="253">
        <f>SUM(N14,N35,N46,N66,N87,N108,N129)</f>
        <v/>
      </c>
      <c r="O12" s="253">
        <f>SUM(O14,O35,O46,O66,O87,O108,O129)</f>
        <v/>
      </c>
      <c r="P12" s="253">
        <f>SUM(P14,P35,P46,P66,P87,P108,P129)</f>
        <v/>
      </c>
      <c r="Q12" s="253">
        <f>SUM(Q14,Q35,Q46,Q66,Q87,Q108,Q129)</f>
        <v/>
      </c>
      <c r="R12" s="253">
        <f>SUM(R14,R35,R46,R66,R87,R108,R129)</f>
        <v/>
      </c>
      <c r="S12" s="253">
        <f>SUM(S14,S35,S46,S66,S87,S108,S129)</f>
        <v/>
      </c>
      <c r="T12" s="253">
        <f>SUM(T14,T35,T46,T66,T87,T108,T129)</f>
        <v/>
      </c>
      <c r="U12" s="253">
        <f>SUM(U14,U35,U46,U66,U87,U108,U129)</f>
        <v/>
      </c>
      <c r="V12" s="253">
        <f>SUM(V14,V35,V46,V66,V87,V108,V129)</f>
        <v/>
      </c>
      <c r="W12" s="253">
        <f>SUM(W14,W35,W46,W66,W87,W108,W129)</f>
        <v/>
      </c>
      <c r="X12" s="253">
        <f>SUM(X14,X35,X46,X66,X87,X108,X129)</f>
        <v/>
      </c>
      <c r="Y12" s="253">
        <f>SUM(Y14,Y35,Y46,Y66,Y87,Y108,Y129)</f>
        <v/>
      </c>
      <c r="Z12" s="253">
        <f>SUM(Z14,Z35,Z46,Z66,Z87,Z108,Z129)</f>
        <v/>
      </c>
      <c r="AA12" s="253">
        <f>SUM(AA14,AA35,AA46,AA66,AA87,AA108,AA129)</f>
        <v/>
      </c>
      <c r="AB12" s="253">
        <f>SUM(AB14,AB35,AB46,AB66,AB87,AB108,AB129)</f>
        <v/>
      </c>
      <c r="AC12" s="253">
        <f>SUM(AC14,AC35,AC46,AC66,AC87,AC108,AC129)</f>
        <v/>
      </c>
      <c r="AD12" s="253">
        <f>SUM(AD14,AD35,AD46,AD66,AD87,AD108,AD129)</f>
        <v/>
      </c>
      <c r="AE12" s="253">
        <f>SUM(AE14,AE35,AE46,AE66,AE87,AE108,AE129)</f>
        <v/>
      </c>
      <c r="AF12" s="253">
        <f>SUM(AF14,AF35,AF46,AF66,AF87,AF108,AF129)</f>
        <v/>
      </c>
      <c r="AG12" s="253">
        <f>SUM(AG14,AG35,AG46,AG66,AG87,AG108,AG129)</f>
        <v/>
      </c>
      <c r="AH12" s="253">
        <f>SUM(AH14,AH35,AH46,AH66,AH87,AH108,AH129)</f>
        <v/>
      </c>
      <c r="AI12" s="253">
        <f>SUM(AI14,AI35,AI46,AI66,AI87,AI108,AI129)</f>
        <v/>
      </c>
      <c r="AJ12" s="253">
        <f>SUM(AJ14,AJ35,AJ46,AJ66,AJ87,AJ108,AJ129)</f>
        <v/>
      </c>
      <c r="AK12" s="254">
        <f>SUM(AK14,AK35,AK46,AK66,AK87,AK108,AK129)</f>
        <v/>
      </c>
    </row>
    <row r="13" ht="27" customFormat="1" customHeight="1" s="48" thickBot="1">
      <c r="A13" s="193" t="inlineStr">
        <is>
          <t>Remaining project funding that can be requested from ARC</t>
        </is>
      </c>
      <c r="B13" s="171" t="n"/>
      <c r="C13" s="255">
        <f>500000-SUM(C14,C35,C46,C66,C87,C108,C129)</f>
        <v/>
      </c>
      <c r="D13" s="256" t="n"/>
      <c r="E13" s="257" t="n"/>
      <c r="F13" s="256" t="n"/>
      <c r="G13" s="257" t="n"/>
      <c r="H13" s="258" t="n"/>
      <c r="I13" s="257" t="n"/>
      <c r="J13" s="255">
        <f>500000-SUM(J14,J35,J46,J66,J87,J108,J129)</f>
        <v/>
      </c>
      <c r="K13" s="256" t="n"/>
      <c r="L13" s="257" t="n"/>
      <c r="M13" s="256" t="n"/>
      <c r="N13" s="257" t="n"/>
      <c r="O13" s="258" t="n"/>
      <c r="P13" s="257" t="n"/>
      <c r="Q13" s="255">
        <f>500000-SUM(Q14,Q35,Q46,Q66,Q87,Q108,Q129)</f>
        <v/>
      </c>
      <c r="R13" s="256" t="n"/>
      <c r="S13" s="257" t="n"/>
      <c r="T13" s="256" t="n"/>
      <c r="U13" s="257" t="n"/>
      <c r="V13" s="258" t="n"/>
      <c r="W13" s="257" t="n"/>
      <c r="X13" s="255">
        <f>500000-SUM(X14,X35,X46,X66,X87,X108,X129)</f>
        <v/>
      </c>
      <c r="Y13" s="256" t="n"/>
      <c r="Z13" s="257" t="n"/>
      <c r="AA13" s="256" t="n"/>
      <c r="AB13" s="257" t="n"/>
      <c r="AC13" s="258" t="n"/>
      <c r="AD13" s="257" t="n"/>
      <c r="AE13" s="255">
        <f>500000-SUM(AE14,AE35,AE46,AE66,AE87,AE108,AE129)</f>
        <v/>
      </c>
      <c r="AF13" s="256" t="n"/>
      <c r="AG13" s="257" t="n"/>
      <c r="AH13" s="256" t="n"/>
      <c r="AI13" s="257" t="n"/>
      <c r="AJ13" s="259" t="n"/>
      <c r="AK13" s="260" t="n"/>
    </row>
    <row r="14" ht="19" customHeight="1" s="180" thickBot="1">
      <c r="A14" s="261" t="inlineStr">
        <is>
          <t>PERSONNEL</t>
        </is>
      </c>
      <c r="B14" s="198" t="n"/>
      <c r="C14" s="262">
        <f>SUM(C15:C34)</f>
        <v/>
      </c>
      <c r="D14" s="263">
        <f>SUM(D15:D34)</f>
        <v/>
      </c>
      <c r="E14" s="264">
        <f>SUM(E15:E34)</f>
        <v/>
      </c>
      <c r="F14" s="265">
        <f>SUM(F15:F34)</f>
        <v/>
      </c>
      <c r="G14" s="266">
        <f>SUM(G15:G34)</f>
        <v/>
      </c>
      <c r="H14" s="267">
        <f>SUM(H15:H34)</f>
        <v/>
      </c>
      <c r="I14" s="262">
        <f>SUM(I15:I34)</f>
        <v/>
      </c>
      <c r="J14" s="262">
        <f>SUM(J15:J34)</f>
        <v/>
      </c>
      <c r="K14" s="263">
        <f>SUM(K15:K34)</f>
        <v/>
      </c>
      <c r="L14" s="264">
        <f>SUM(L15:L34)</f>
        <v/>
      </c>
      <c r="M14" s="265">
        <f>SUM(M15:M34)</f>
        <v/>
      </c>
      <c r="N14" s="266">
        <f>SUM(N15:N34)</f>
        <v/>
      </c>
      <c r="O14" s="267">
        <f>SUM(O15:O34)</f>
        <v/>
      </c>
      <c r="P14" s="262">
        <f>SUM(P15:P34)</f>
        <v/>
      </c>
      <c r="Q14" s="262">
        <f>SUM(Q15:Q34)</f>
        <v/>
      </c>
      <c r="R14" s="263">
        <f>SUM(R15:R34)</f>
        <v/>
      </c>
      <c r="S14" s="264">
        <f>SUM(S15:S34)</f>
        <v/>
      </c>
      <c r="T14" s="265">
        <f>SUM(T15:T34)</f>
        <v/>
      </c>
      <c r="U14" s="266">
        <f>SUM(U15:U34)</f>
        <v/>
      </c>
      <c r="V14" s="267">
        <f>SUM(V15:V34)</f>
        <v/>
      </c>
      <c r="W14" s="262">
        <f>SUM(W15:W34)</f>
        <v/>
      </c>
      <c r="X14" s="262">
        <f>SUM(X15:X34)</f>
        <v/>
      </c>
      <c r="Y14" s="263">
        <f>SUM(Y15:Y34)</f>
        <v/>
      </c>
      <c r="Z14" s="264">
        <f>SUM(Z15:Z34)</f>
        <v/>
      </c>
      <c r="AA14" s="265">
        <f>SUM(AA15:AA34)</f>
        <v/>
      </c>
      <c r="AB14" s="266">
        <f>SUM(AB15:AB34)</f>
        <v/>
      </c>
      <c r="AC14" s="267">
        <f>SUM(AC15:AC34)</f>
        <v/>
      </c>
      <c r="AD14" s="262">
        <f>SUM(AD15:AD34)</f>
        <v/>
      </c>
      <c r="AE14" s="262">
        <f>SUM(AE15:AE34)</f>
        <v/>
      </c>
      <c r="AF14" s="263">
        <f>SUM(AF15:AF34)</f>
        <v/>
      </c>
      <c r="AG14" s="264">
        <f>SUM(AG15:AG34)</f>
        <v/>
      </c>
      <c r="AH14" s="265">
        <f>SUM(AH15:AH34)</f>
        <v/>
      </c>
      <c r="AI14" s="266">
        <f>SUM(AI15:AI34)</f>
        <v/>
      </c>
      <c r="AJ14" s="267">
        <f>SUM(AJ15:AJ34)</f>
        <v/>
      </c>
      <c r="AK14" s="262">
        <f>SUM(AK15:AK34)</f>
        <v/>
      </c>
    </row>
    <row r="15" outlineLevel="1" ht="15.75" customHeight="1" s="180">
      <c r="A15" s="171" t="inlineStr">
        <is>
          <t>CI Xingliang Yuan, Level D.4 at 0.2 FTE (plus on-costs)</t>
        </is>
      </c>
      <c r="B15" s="171" t="n"/>
      <c r="C15" s="268" t="n">
        <v>0</v>
      </c>
      <c r="D15" s="269" t="n">
        <v>0</v>
      </c>
      <c r="E15" s="270" t="n">
        <v>8339</v>
      </c>
      <c r="F15" s="271" t="n"/>
      <c r="G15" s="272" t="n"/>
      <c r="H15" s="273" t="n"/>
      <c r="I15" s="270" t="n"/>
      <c r="J15" s="268" t="n">
        <v>0</v>
      </c>
      <c r="K15" s="269" t="n">
        <v>0</v>
      </c>
      <c r="L15" s="270" t="n">
        <v>8339</v>
      </c>
      <c r="M15" s="271" t="n"/>
      <c r="N15" s="272" t="n"/>
      <c r="O15" s="273" t="n"/>
      <c r="P15" s="270" t="n"/>
      <c r="Q15" s="268" t="n">
        <v>0</v>
      </c>
      <c r="R15" s="269" t="n">
        <v>0</v>
      </c>
      <c r="S15" s="270" t="n">
        <v>43989</v>
      </c>
      <c r="T15" s="271" t="n"/>
      <c r="U15" s="272" t="n"/>
      <c r="V15" s="273" t="n"/>
      <c r="W15" s="270" t="n"/>
      <c r="X15" s="268" t="n">
        <v>0</v>
      </c>
      <c r="Y15" s="269" t="n">
        <v>0</v>
      </c>
      <c r="Z15" s="270" t="n">
        <v>0</v>
      </c>
      <c r="AA15" s="271" t="n"/>
      <c r="AB15" s="272" t="n"/>
      <c r="AC15" s="273" t="n"/>
      <c r="AD15" s="270" t="n"/>
      <c r="AE15" s="268" t="n">
        <v>0</v>
      </c>
      <c r="AF15" s="269" t="n">
        <v>0</v>
      </c>
      <c r="AG15" s="270" t="n">
        <v>0</v>
      </c>
      <c r="AH15" s="271" t="n"/>
      <c r="AI15" s="272" t="n"/>
      <c r="AJ15" s="273" t="n"/>
      <c r="AK15" s="270" t="n"/>
    </row>
    <row r="16" outlineLevel="1" ht="15.75" customHeight="1" s="180">
      <c r="A16" s="171" t="inlineStr">
        <is>
          <t>CI Shaanan Cohney, Level C.3 at 0.2 FTE (plus on-costs)</t>
        </is>
      </c>
      <c r="B16" s="171" t="n"/>
      <c r="C16" s="268" t="n">
        <v>0</v>
      </c>
      <c r="D16" s="269" t="n">
        <v>0</v>
      </c>
      <c r="E16" s="270" t="n">
        <v>18751</v>
      </c>
      <c r="F16" s="271" t="n"/>
      <c r="G16" s="272" t="n"/>
      <c r="H16" s="273" t="n"/>
      <c r="I16" s="270" t="n"/>
      <c r="J16" s="268" t="n">
        <v>0</v>
      </c>
      <c r="K16" s="269" t="n">
        <v>0</v>
      </c>
      <c r="L16" s="270" t="n">
        <v>20038</v>
      </c>
      <c r="M16" s="271" t="n"/>
      <c r="N16" s="272" t="n"/>
      <c r="O16" s="273" t="n"/>
      <c r="P16" s="270" t="n"/>
      <c r="Q16" s="268" t="n">
        <v>0</v>
      </c>
      <c r="R16" s="269" t="n">
        <v>0</v>
      </c>
      <c r="S16" s="270" t="n">
        <v>21327</v>
      </c>
      <c r="T16" s="271" t="n"/>
      <c r="U16" s="272" t="n"/>
      <c r="V16" s="273" t="n"/>
      <c r="W16" s="270" t="n"/>
      <c r="X16" s="268" t="n">
        <v>0</v>
      </c>
      <c r="Y16" s="269" t="n">
        <v>0</v>
      </c>
      <c r="Z16" s="270" t="n">
        <v>0</v>
      </c>
      <c r="AA16" s="271" t="n"/>
      <c r="AB16" s="272" t="n"/>
      <c r="AC16" s="273" t="n"/>
      <c r="AD16" s="270" t="n"/>
      <c r="AE16" s="268" t="n">
        <v>0</v>
      </c>
      <c r="AF16" s="269" t="n">
        <v>0</v>
      </c>
      <c r="AG16" s="270" t="n">
        <v>0</v>
      </c>
      <c r="AH16" s="271" t="n"/>
      <c r="AI16" s="272" t="n"/>
      <c r="AJ16" s="273" t="n"/>
      <c r="AK16" s="270" t="n"/>
    </row>
    <row r="17" outlineLevel="1" ht="15.75" customHeight="1" s="180">
      <c r="A17" s="171" t="inlineStr">
        <is>
          <t>CI Shangqi Lai, Level B.3 at 0.2 FTE (plus on-costs)</t>
        </is>
      </c>
      <c r="B17" s="171" t="n"/>
      <c r="C17" s="274" t="n">
        <v>0</v>
      </c>
      <c r="D17" s="275" t="n">
        <v>0</v>
      </c>
      <c r="E17" s="276" t="n">
        <v>36962</v>
      </c>
      <c r="F17" s="277" t="n"/>
      <c r="G17" s="278" t="n"/>
      <c r="H17" s="279" t="n"/>
      <c r="I17" s="276" t="n"/>
      <c r="J17" s="274" t="n">
        <v>0</v>
      </c>
      <c r="K17" s="275" t="n">
        <v>0</v>
      </c>
      <c r="L17" s="276" t="n">
        <v>38251</v>
      </c>
      <c r="M17" s="277" t="n"/>
      <c r="N17" s="278" t="n"/>
      <c r="O17" s="279" t="n"/>
      <c r="P17" s="276" t="n"/>
      <c r="Q17" s="274" t="n">
        <v>0</v>
      </c>
      <c r="R17" s="275" t="n">
        <v>0</v>
      </c>
      <c r="S17" s="276" t="n">
        <v>39541</v>
      </c>
      <c r="T17" s="277" t="n"/>
      <c r="U17" s="278" t="n"/>
      <c r="V17" s="279" t="n"/>
      <c r="W17" s="276" t="n"/>
      <c r="X17" s="274" t="n">
        <v>0</v>
      </c>
      <c r="Y17" s="275" t="n">
        <v>0</v>
      </c>
      <c r="Z17" s="276" t="n">
        <v>0</v>
      </c>
      <c r="AA17" s="277" t="n"/>
      <c r="AB17" s="278" t="n"/>
      <c r="AC17" s="279" t="n"/>
      <c r="AD17" s="276" t="n"/>
      <c r="AE17" s="274" t="n">
        <v>0</v>
      </c>
      <c r="AF17" s="275" t="n">
        <v>0</v>
      </c>
      <c r="AG17" s="276" t="n">
        <v>0</v>
      </c>
      <c r="AH17" s="277" t="n"/>
      <c r="AI17" s="278" t="n"/>
      <c r="AJ17" s="279" t="n"/>
      <c r="AK17" s="276" t="n"/>
    </row>
    <row r="18" outlineLevel="1" ht="15.75" customHeight="1" s="180">
      <c r="A18" s="171" t="inlineStr">
        <is>
          <t>HDR (Higher Degree by Research stipend)</t>
        </is>
      </c>
      <c r="B18" s="171" t="n"/>
      <c r="C18" s="274" t="n">
        <v>0</v>
      </c>
      <c r="D18" s="275" t="n">
        <v>0</v>
      </c>
      <c r="E18" s="276" t="n">
        <v>6288</v>
      </c>
      <c r="F18" s="277" t="n"/>
      <c r="G18" s="278" t="n"/>
      <c r="H18" s="279" t="n"/>
      <c r="I18" s="276" t="n"/>
      <c r="J18" s="274" t="n">
        <v>0</v>
      </c>
      <c r="K18" s="275" t="n">
        <v>0</v>
      </c>
      <c r="L18" s="276" t="n">
        <v>7388</v>
      </c>
      <c r="M18" s="277" t="n"/>
      <c r="N18" s="278" t="n"/>
      <c r="O18" s="279" t="n"/>
      <c r="P18" s="276" t="n"/>
      <c r="Q18" s="274" t="n">
        <v>0</v>
      </c>
      <c r="R18" s="275" t="n">
        <v>0</v>
      </c>
      <c r="S18" s="276" t="n">
        <v>7388</v>
      </c>
      <c r="T18" s="277" t="n"/>
      <c r="U18" s="278" t="n"/>
      <c r="V18" s="279" t="n"/>
      <c r="W18" s="276" t="n"/>
      <c r="X18" s="274" t="n">
        <v>0</v>
      </c>
      <c r="Y18" s="275" t="n">
        <v>0</v>
      </c>
      <c r="Z18" s="276" t="n">
        <v>0</v>
      </c>
      <c r="AA18" s="277" t="n"/>
      <c r="AB18" s="278" t="n"/>
      <c r="AC18" s="279" t="n"/>
      <c r="AD18" s="276" t="n"/>
      <c r="AE18" s="274" t="n">
        <v>0</v>
      </c>
      <c r="AF18" s="275" t="n">
        <v>0</v>
      </c>
      <c r="AG18" s="276" t="n">
        <v>0</v>
      </c>
      <c r="AH18" s="277" t="n"/>
      <c r="AI18" s="278" t="n"/>
      <c r="AJ18" s="279" t="n"/>
      <c r="AK18" s="276" t="n"/>
    </row>
    <row r="19" outlineLevel="1" ht="15.75" customHeight="1" s="180">
      <c r="A19" s="171" t="inlineStr">
        <is>
          <t>HDR (Higher Degree by Research stipend, ARC funded)
ARC funding is requested for the HDR candidate to support multimodal prompt-auditing implementation, robustness evaluation, benchmarking, and experimental analysis across the project. The University of Melbourne will provide the associated stipend top-up from non-ARC funds.</t>
        </is>
      </c>
      <c r="B19" s="171" t="n"/>
      <c r="C19" s="274" t="n">
        <v>38500</v>
      </c>
      <c r="D19" s="275" t="n">
        <v>0</v>
      </c>
      <c r="E19" s="276" t="n">
        <v>0</v>
      </c>
      <c r="F19" s="277" t="n"/>
      <c r="G19" s="278" t="n"/>
      <c r="H19" s="279" t="n"/>
      <c r="I19" s="276" t="n"/>
      <c r="J19" s="274" t="n">
        <v>39600</v>
      </c>
      <c r="K19" s="275" t="n">
        <v>0</v>
      </c>
      <c r="L19" s="276" t="n">
        <v>0</v>
      </c>
      <c r="M19" s="277" t="n"/>
      <c r="N19" s="278" t="n"/>
      <c r="O19" s="279" t="n"/>
      <c r="P19" s="276" t="n"/>
      <c r="Q19" s="274" t="n">
        <v>39600</v>
      </c>
      <c r="R19" s="275" t="n">
        <v>0</v>
      </c>
      <c r="S19" s="276" t="n">
        <v>0</v>
      </c>
      <c r="T19" s="277" t="n"/>
      <c r="U19" s="278" t="n"/>
      <c r="V19" s="279" t="n"/>
      <c r="W19" s="276" t="n"/>
      <c r="X19" s="274" t="n">
        <v>0</v>
      </c>
      <c r="Y19" s="275" t="n">
        <v>0</v>
      </c>
      <c r="Z19" s="276" t="n">
        <v>0</v>
      </c>
      <c r="AA19" s="277" t="n"/>
      <c r="AB19" s="278" t="n"/>
      <c r="AC19" s="279" t="n"/>
      <c r="AD19" s="276" t="n"/>
      <c r="AE19" s="274" t="n">
        <v>0</v>
      </c>
      <c r="AF19" s="275" t="n">
        <v>0</v>
      </c>
      <c r="AG19" s="276" t="n">
        <v>0</v>
      </c>
      <c r="AH19" s="277" t="n"/>
      <c r="AI19" s="278" t="n"/>
      <c r="AJ19" s="279" t="n"/>
      <c r="AK19" s="276" t="n"/>
    </row>
    <row r="20" outlineLevel="1" ht="15.75" customHeight="1" s="180">
      <c r="A20" s="171" t="inlineStr">
        <is>
          <t>Postdoctoral Research Associate (B.1-B.3)</t>
        </is>
      </c>
      <c r="B20" s="171" t="n"/>
      <c r="C20" s="274" t="n">
        <v>171923</v>
      </c>
      <c r="D20" s="275" t="n">
        <v>0</v>
      </c>
      <c r="E20" s="276" t="n">
        <v>0</v>
      </c>
      <c r="F20" s="277" t="n"/>
      <c r="G20" s="278" t="n"/>
      <c r="H20" s="279" t="n"/>
      <c r="I20" s="276" t="n"/>
      <c r="J20" s="274" t="n">
        <v>178364</v>
      </c>
      <c r="K20" s="275" t="n">
        <v>0</v>
      </c>
      <c r="L20" s="276" t="n">
        <v>0</v>
      </c>
      <c r="M20" s="277" t="n"/>
      <c r="N20" s="278" t="n"/>
      <c r="O20" s="279" t="n"/>
      <c r="P20" s="276" t="n"/>
      <c r="Q20" s="274" t="n">
        <v>184810</v>
      </c>
      <c r="R20" s="275" t="n">
        <v>0</v>
      </c>
      <c r="S20" s="276" t="n">
        <v>0</v>
      </c>
      <c r="T20" s="277" t="n"/>
      <c r="U20" s="278" t="n"/>
      <c r="V20" s="279" t="n"/>
      <c r="W20" s="276" t="n"/>
      <c r="X20" s="274" t="n">
        <v>0</v>
      </c>
      <c r="Y20" s="275" t="n">
        <v>0</v>
      </c>
      <c r="Z20" s="276" t="n">
        <v>0</v>
      </c>
      <c r="AA20" s="277" t="n"/>
      <c r="AB20" s="278" t="n"/>
      <c r="AC20" s="279" t="n"/>
      <c r="AD20" s="276" t="n"/>
      <c r="AE20" s="274" t="n">
        <v>0</v>
      </c>
      <c r="AF20" s="275" t="n">
        <v>0</v>
      </c>
      <c r="AG20" s="276" t="n">
        <v>0</v>
      </c>
      <c r="AH20" s="277" t="n"/>
      <c r="AI20" s="278" t="n"/>
      <c r="AJ20" s="279" t="n"/>
      <c r="AK20" s="276" t="n"/>
    </row>
    <row r="21" outlineLevel="1" ht="15.75" customHeight="1" s="180">
      <c r="A21" s="171" t="n"/>
      <c r="B21" s="171" t="n"/>
      <c r="C21" s="274" t="n"/>
      <c r="D21" s="275" t="n"/>
      <c r="E21" s="276" t="n"/>
      <c r="F21" s="277" t="n"/>
      <c r="G21" s="278" t="n"/>
      <c r="H21" s="279" t="n"/>
      <c r="I21" s="276" t="n"/>
      <c r="J21" s="274" t="n"/>
      <c r="K21" s="275" t="n"/>
      <c r="L21" s="276" t="n"/>
      <c r="M21" s="277" t="n"/>
      <c r="N21" s="278" t="n"/>
      <c r="O21" s="279" t="n"/>
      <c r="P21" s="276" t="n"/>
      <c r="Q21" s="274" t="n"/>
      <c r="R21" s="275" t="n"/>
      <c r="S21" s="276" t="n"/>
      <c r="T21" s="277" t="n"/>
      <c r="U21" s="278" t="n"/>
      <c r="V21" s="279" t="n"/>
      <c r="W21" s="276" t="n"/>
      <c r="X21" s="274" t="n"/>
      <c r="Y21" s="275" t="n"/>
      <c r="Z21" s="276" t="n"/>
      <c r="AA21" s="277" t="n"/>
      <c r="AB21" s="278" t="n"/>
      <c r="AC21" s="279" t="n"/>
      <c r="AD21" s="276" t="n"/>
      <c r="AE21" s="274" t="n"/>
      <c r="AF21" s="275" t="n"/>
      <c r="AG21" s="276" t="n"/>
      <c r="AH21" s="277" t="n"/>
      <c r="AI21" s="278" t="n"/>
      <c r="AJ21" s="279" t="n"/>
      <c r="AK21" s="276" t="n"/>
    </row>
    <row r="22" outlineLevel="1" ht="15.75" customHeight="1" s="180">
      <c r="A22" s="171" t="n"/>
      <c r="B22" s="171" t="n"/>
      <c r="C22" s="274" t="n"/>
      <c r="D22" s="275" t="n"/>
      <c r="E22" s="276" t="n"/>
      <c r="F22" s="277" t="n"/>
      <c r="G22" s="278" t="n"/>
      <c r="H22" s="279" t="n"/>
      <c r="I22" s="276" t="n"/>
      <c r="J22" s="274" t="n"/>
      <c r="K22" s="275" t="n"/>
      <c r="L22" s="276" t="n"/>
      <c r="M22" s="277" t="n"/>
      <c r="N22" s="278" t="n"/>
      <c r="O22" s="279" t="n"/>
      <c r="P22" s="276" t="n"/>
      <c r="Q22" s="274" t="n"/>
      <c r="R22" s="275" t="n"/>
      <c r="S22" s="276" t="n"/>
      <c r="T22" s="277" t="n"/>
      <c r="U22" s="278" t="n"/>
      <c r="V22" s="279" t="n"/>
      <c r="W22" s="276" t="n"/>
      <c r="X22" s="274" t="n"/>
      <c r="Y22" s="275" t="n"/>
      <c r="Z22" s="276" t="n"/>
      <c r="AA22" s="277" t="n"/>
      <c r="AB22" s="278" t="n"/>
      <c r="AC22" s="279" t="n"/>
      <c r="AD22" s="276" t="n"/>
      <c r="AE22" s="274" t="n"/>
      <c r="AF22" s="275" t="n"/>
      <c r="AG22" s="276" t="n"/>
      <c r="AH22" s="277" t="n"/>
      <c r="AI22" s="278" t="n"/>
      <c r="AJ22" s="279" t="n"/>
      <c r="AK22" s="276" t="n"/>
    </row>
    <row r="23" outlineLevel="1" ht="15.75" customHeight="1" s="180">
      <c r="A23" s="171" t="n"/>
      <c r="B23" s="171" t="n"/>
      <c r="C23" s="274" t="n"/>
      <c r="D23" s="275" t="n"/>
      <c r="E23" s="276" t="n"/>
      <c r="F23" s="277" t="n"/>
      <c r="G23" s="278" t="n"/>
      <c r="H23" s="279" t="n"/>
      <c r="I23" s="276" t="n"/>
      <c r="J23" s="274" t="n"/>
      <c r="K23" s="275" t="n"/>
      <c r="L23" s="276" t="n"/>
      <c r="M23" s="277" t="n"/>
      <c r="N23" s="278" t="n"/>
      <c r="O23" s="279" t="n"/>
      <c r="P23" s="276" t="n"/>
      <c r="Q23" s="274" t="n"/>
      <c r="R23" s="275" t="n"/>
      <c r="S23" s="276" t="n"/>
      <c r="T23" s="277" t="n"/>
      <c r="U23" s="278" t="n"/>
      <c r="V23" s="279" t="n"/>
      <c r="W23" s="276" t="n"/>
      <c r="X23" s="274" t="n"/>
      <c r="Y23" s="275" t="n"/>
      <c r="Z23" s="276" t="n"/>
      <c r="AA23" s="277" t="n"/>
      <c r="AB23" s="278" t="n"/>
      <c r="AC23" s="279" t="n"/>
      <c r="AD23" s="276" t="n"/>
      <c r="AE23" s="274" t="n"/>
      <c r="AF23" s="275" t="n"/>
      <c r="AG23" s="276" t="n"/>
      <c r="AH23" s="277" t="n"/>
      <c r="AI23" s="278" t="n"/>
      <c r="AJ23" s="279" t="n"/>
      <c r="AK23" s="276" t="n"/>
    </row>
    <row r="24" outlineLevel="1" ht="15.75" customHeight="1" s="180">
      <c r="A24" s="171" t="n"/>
      <c r="B24" s="171" t="n"/>
      <c r="C24" s="274" t="n"/>
      <c r="D24" s="275" t="n"/>
      <c r="E24" s="276" t="n"/>
      <c r="F24" s="277" t="n"/>
      <c r="G24" s="278" t="n"/>
      <c r="H24" s="279" t="n"/>
      <c r="I24" s="276" t="n"/>
      <c r="J24" s="274" t="n"/>
      <c r="K24" s="275" t="n"/>
      <c r="L24" s="276" t="n"/>
      <c r="M24" s="277" t="n"/>
      <c r="N24" s="278" t="n"/>
      <c r="O24" s="279" t="n"/>
      <c r="P24" s="276" t="n"/>
      <c r="Q24" s="274" t="n"/>
      <c r="R24" s="275" t="n"/>
      <c r="S24" s="276" t="n"/>
      <c r="T24" s="277" t="n"/>
      <c r="U24" s="278" t="n"/>
      <c r="V24" s="279" t="n"/>
      <c r="W24" s="276" t="n"/>
      <c r="X24" s="274" t="n"/>
      <c r="Y24" s="275" t="n"/>
      <c r="Z24" s="276" t="n"/>
      <c r="AA24" s="277" t="n"/>
      <c r="AB24" s="278" t="n"/>
      <c r="AC24" s="279" t="n"/>
      <c r="AD24" s="276" t="n"/>
      <c r="AE24" s="274" t="n"/>
      <c r="AF24" s="275" t="n"/>
      <c r="AG24" s="276" t="n"/>
      <c r="AH24" s="277" t="n"/>
      <c r="AI24" s="278" t="n"/>
      <c r="AJ24" s="279" t="n"/>
      <c r="AK24" s="276" t="n"/>
    </row>
    <row r="25" outlineLevel="1" ht="15.75" customHeight="1" s="180">
      <c r="A25" s="171" t="n"/>
      <c r="B25" s="171" t="n"/>
      <c r="C25" s="274" t="n"/>
      <c r="D25" s="275" t="n"/>
      <c r="E25" s="276" t="n"/>
      <c r="F25" s="277" t="n"/>
      <c r="G25" s="278" t="n"/>
      <c r="H25" s="279" t="n"/>
      <c r="I25" s="276" t="n"/>
      <c r="J25" s="274" t="n"/>
      <c r="K25" s="275" t="n"/>
      <c r="L25" s="276" t="n"/>
      <c r="M25" s="277" t="n"/>
      <c r="N25" s="278" t="n"/>
      <c r="O25" s="279" t="n"/>
      <c r="P25" s="276" t="n"/>
      <c r="Q25" s="274" t="n"/>
      <c r="R25" s="275" t="n"/>
      <c r="S25" s="276" t="n"/>
      <c r="T25" s="277" t="n"/>
      <c r="U25" s="278" t="n"/>
      <c r="V25" s="279" t="n"/>
      <c r="W25" s="276" t="n"/>
      <c r="X25" s="274" t="n"/>
      <c r="Y25" s="275" t="n"/>
      <c r="Z25" s="276" t="n"/>
      <c r="AA25" s="277" t="n"/>
      <c r="AB25" s="278" t="n"/>
      <c r="AC25" s="279" t="n"/>
      <c r="AD25" s="276" t="n"/>
      <c r="AE25" s="274" t="n"/>
      <c r="AF25" s="275" t="n"/>
      <c r="AG25" s="276" t="n"/>
      <c r="AH25" s="277" t="n"/>
      <c r="AI25" s="278" t="n"/>
      <c r="AJ25" s="279" t="n"/>
      <c r="AK25" s="276" t="n"/>
    </row>
    <row r="26" outlineLevel="1" ht="15.75" customHeight="1" s="180">
      <c r="A26" s="171" t="n"/>
      <c r="B26" s="171" t="n"/>
      <c r="C26" s="274" t="n"/>
      <c r="D26" s="275" t="n"/>
      <c r="E26" s="276" t="n"/>
      <c r="F26" s="277" t="n"/>
      <c r="G26" s="278" t="n"/>
      <c r="H26" s="279" t="n"/>
      <c r="I26" s="276" t="n"/>
      <c r="J26" s="274" t="n"/>
      <c r="K26" s="275" t="n"/>
      <c r="L26" s="276" t="n"/>
      <c r="M26" s="277" t="n"/>
      <c r="N26" s="278" t="n"/>
      <c r="O26" s="279" t="n"/>
      <c r="P26" s="276" t="n"/>
      <c r="Q26" s="274" t="n"/>
      <c r="R26" s="275" t="n"/>
      <c r="S26" s="276" t="n"/>
      <c r="T26" s="277" t="n"/>
      <c r="U26" s="278" t="n"/>
      <c r="V26" s="279" t="n"/>
      <c r="W26" s="276" t="n"/>
      <c r="X26" s="274" t="n"/>
      <c r="Y26" s="275" t="n"/>
      <c r="Z26" s="276" t="n"/>
      <c r="AA26" s="277" t="n"/>
      <c r="AB26" s="278" t="n"/>
      <c r="AC26" s="279" t="n"/>
      <c r="AD26" s="276" t="n"/>
      <c r="AE26" s="274" t="n"/>
      <c r="AF26" s="275" t="n"/>
      <c r="AG26" s="276" t="n"/>
      <c r="AH26" s="277" t="n"/>
      <c r="AI26" s="278" t="n"/>
      <c r="AJ26" s="279" t="n"/>
      <c r="AK26" s="276" t="n"/>
    </row>
    <row r="27" outlineLevel="1" ht="15.75" customHeight="1" s="180">
      <c r="A27" s="171" t="n"/>
      <c r="B27" s="171" t="n"/>
      <c r="C27" s="274" t="n"/>
      <c r="D27" s="275" t="n"/>
      <c r="E27" s="276" t="n"/>
      <c r="F27" s="277" t="n"/>
      <c r="G27" s="278" t="n"/>
      <c r="H27" s="279" t="n"/>
      <c r="I27" s="276" t="n"/>
      <c r="J27" s="274" t="n"/>
      <c r="K27" s="275" t="n"/>
      <c r="L27" s="276" t="n"/>
      <c r="M27" s="277" t="n"/>
      <c r="N27" s="278" t="n"/>
      <c r="O27" s="279" t="n"/>
      <c r="P27" s="276" t="n"/>
      <c r="Q27" s="274" t="n"/>
      <c r="R27" s="275" t="n"/>
      <c r="S27" s="276" t="n"/>
      <c r="T27" s="277" t="n"/>
      <c r="U27" s="278" t="n"/>
      <c r="V27" s="279" t="n"/>
      <c r="W27" s="276" t="n"/>
      <c r="X27" s="274" t="n"/>
      <c r="Y27" s="275" t="n"/>
      <c r="Z27" s="276" t="n"/>
      <c r="AA27" s="277" t="n"/>
      <c r="AB27" s="278" t="n"/>
      <c r="AC27" s="279" t="n"/>
      <c r="AD27" s="276" t="n"/>
      <c r="AE27" s="274" t="n"/>
      <c r="AF27" s="275" t="n"/>
      <c r="AG27" s="276" t="n"/>
      <c r="AH27" s="277" t="n"/>
      <c r="AI27" s="278" t="n"/>
      <c r="AJ27" s="279" t="n"/>
      <c r="AK27" s="276" t="n"/>
    </row>
    <row r="28" outlineLevel="1" ht="15.75" customHeight="1" s="180">
      <c r="A28" s="171" t="n"/>
      <c r="B28" s="171" t="n"/>
      <c r="C28" s="274" t="n"/>
      <c r="D28" s="275" t="n"/>
      <c r="E28" s="276" t="n"/>
      <c r="F28" s="277" t="n"/>
      <c r="G28" s="278" t="n"/>
      <c r="H28" s="279" t="n"/>
      <c r="I28" s="276" t="n"/>
      <c r="J28" s="274" t="n"/>
      <c r="K28" s="275" t="n"/>
      <c r="L28" s="276" t="n"/>
      <c r="M28" s="277" t="n"/>
      <c r="N28" s="278" t="n"/>
      <c r="O28" s="279" t="n"/>
      <c r="P28" s="276" t="n"/>
      <c r="Q28" s="274" t="n"/>
      <c r="R28" s="275" t="n"/>
      <c r="S28" s="276" t="n"/>
      <c r="T28" s="277" t="n"/>
      <c r="U28" s="278" t="n"/>
      <c r="V28" s="279" t="n"/>
      <c r="W28" s="276" t="n"/>
      <c r="X28" s="274" t="n"/>
      <c r="Y28" s="275" t="n"/>
      <c r="Z28" s="276" t="n"/>
      <c r="AA28" s="277" t="n"/>
      <c r="AB28" s="278" t="n"/>
      <c r="AC28" s="279" t="n"/>
      <c r="AD28" s="276" t="n"/>
      <c r="AE28" s="274" t="n"/>
      <c r="AF28" s="275" t="n"/>
      <c r="AG28" s="276" t="n"/>
      <c r="AH28" s="277" t="n"/>
      <c r="AI28" s="278" t="n"/>
      <c r="AJ28" s="279" t="n"/>
      <c r="AK28" s="276" t="n"/>
    </row>
    <row r="29" outlineLevel="1" ht="15.75" customHeight="1" s="180">
      <c r="A29" s="171" t="n"/>
      <c r="B29" s="171" t="n"/>
      <c r="C29" s="274" t="n"/>
      <c r="D29" s="275" t="n"/>
      <c r="E29" s="276" t="n"/>
      <c r="F29" s="277" t="n"/>
      <c r="G29" s="278" t="n"/>
      <c r="H29" s="279" t="n"/>
      <c r="I29" s="276" t="n"/>
      <c r="J29" s="274" t="n"/>
      <c r="K29" s="275" t="n"/>
      <c r="L29" s="276" t="n"/>
      <c r="M29" s="277" t="n"/>
      <c r="N29" s="278" t="n"/>
      <c r="O29" s="279" t="n"/>
      <c r="P29" s="276" t="n"/>
      <c r="Q29" s="274" t="n"/>
      <c r="R29" s="275" t="n"/>
      <c r="S29" s="276" t="n"/>
      <c r="T29" s="277" t="n"/>
      <c r="U29" s="278" t="n"/>
      <c r="V29" s="279" t="n"/>
      <c r="W29" s="276" t="n"/>
      <c r="X29" s="274" t="n"/>
      <c r="Y29" s="275" t="n"/>
      <c r="Z29" s="276" t="n"/>
      <c r="AA29" s="277" t="n"/>
      <c r="AB29" s="278" t="n"/>
      <c r="AC29" s="279" t="n"/>
      <c r="AD29" s="276" t="n"/>
      <c r="AE29" s="274" t="n"/>
      <c r="AF29" s="275" t="n"/>
      <c r="AG29" s="276" t="n"/>
      <c r="AH29" s="277" t="n"/>
      <c r="AI29" s="278" t="n"/>
      <c r="AJ29" s="279" t="n"/>
      <c r="AK29" s="276" t="n"/>
    </row>
    <row r="30" outlineLevel="1" ht="15.75" customHeight="1" s="180">
      <c r="A30" s="171" t="n"/>
      <c r="B30" s="171" t="n"/>
      <c r="C30" s="274" t="n"/>
      <c r="D30" s="275" t="n"/>
      <c r="E30" s="276" t="n"/>
      <c r="F30" s="277" t="n"/>
      <c r="G30" s="278" t="n"/>
      <c r="H30" s="279" t="n"/>
      <c r="I30" s="276" t="n"/>
      <c r="J30" s="274" t="n"/>
      <c r="K30" s="275" t="n"/>
      <c r="L30" s="276" t="n"/>
      <c r="M30" s="277" t="n"/>
      <c r="N30" s="278" t="n"/>
      <c r="O30" s="279" t="n"/>
      <c r="P30" s="276" t="n"/>
      <c r="Q30" s="274" t="n"/>
      <c r="R30" s="275" t="n"/>
      <c r="S30" s="276" t="n"/>
      <c r="T30" s="277" t="n"/>
      <c r="U30" s="278" t="n"/>
      <c r="V30" s="279" t="n"/>
      <c r="W30" s="276" t="n"/>
      <c r="X30" s="274" t="n"/>
      <c r="Y30" s="275" t="n"/>
      <c r="Z30" s="276" t="n"/>
      <c r="AA30" s="277" t="n"/>
      <c r="AB30" s="278" t="n"/>
      <c r="AC30" s="279" t="n"/>
      <c r="AD30" s="276" t="n"/>
      <c r="AE30" s="274" t="n"/>
      <c r="AF30" s="275" t="n"/>
      <c r="AG30" s="276" t="n"/>
      <c r="AH30" s="277" t="n"/>
      <c r="AI30" s="278" t="n"/>
      <c r="AJ30" s="279" t="n"/>
      <c r="AK30" s="276" t="n"/>
    </row>
    <row r="31" outlineLevel="1" ht="15.75" customHeight="1" s="180">
      <c r="A31" s="171" t="n"/>
      <c r="B31" s="171" t="n"/>
      <c r="C31" s="274" t="n"/>
      <c r="D31" s="275" t="n"/>
      <c r="E31" s="276" t="n"/>
      <c r="F31" s="277" t="n"/>
      <c r="G31" s="278" t="n"/>
      <c r="H31" s="279" t="n"/>
      <c r="I31" s="276" t="n"/>
      <c r="J31" s="274" t="n"/>
      <c r="K31" s="275" t="n"/>
      <c r="L31" s="276" t="n"/>
      <c r="M31" s="277" t="n"/>
      <c r="N31" s="278" t="n"/>
      <c r="O31" s="279" t="n"/>
      <c r="P31" s="276" t="n"/>
      <c r="Q31" s="274" t="n"/>
      <c r="R31" s="275" t="n"/>
      <c r="S31" s="276" t="n"/>
      <c r="T31" s="277" t="n"/>
      <c r="U31" s="278" t="n"/>
      <c r="V31" s="279" t="n"/>
      <c r="W31" s="276" t="n"/>
      <c r="X31" s="274" t="n"/>
      <c r="Y31" s="275" t="n"/>
      <c r="Z31" s="276" t="n"/>
      <c r="AA31" s="277" t="n"/>
      <c r="AB31" s="278" t="n"/>
      <c r="AC31" s="279" t="n"/>
      <c r="AD31" s="276" t="n"/>
      <c r="AE31" s="274" t="n"/>
      <c r="AF31" s="275" t="n"/>
      <c r="AG31" s="276" t="n"/>
      <c r="AH31" s="277" t="n"/>
      <c r="AI31" s="278" t="n"/>
      <c r="AJ31" s="279" t="n"/>
      <c r="AK31" s="276" t="n"/>
    </row>
    <row r="32" outlineLevel="1" ht="15.75" customHeight="1" s="180">
      <c r="A32" s="171" t="n"/>
      <c r="B32" s="171" t="n"/>
      <c r="C32" s="274" t="n"/>
      <c r="D32" s="275" t="n"/>
      <c r="E32" s="276" t="n"/>
      <c r="F32" s="277" t="n"/>
      <c r="G32" s="278" t="n"/>
      <c r="H32" s="279" t="n"/>
      <c r="I32" s="276" t="n"/>
      <c r="J32" s="274" t="n"/>
      <c r="K32" s="275" t="n"/>
      <c r="L32" s="276" t="n"/>
      <c r="M32" s="277" t="n"/>
      <c r="N32" s="278" t="n"/>
      <c r="O32" s="279" t="n"/>
      <c r="P32" s="276" t="n"/>
      <c r="Q32" s="274" t="n"/>
      <c r="R32" s="275" t="n"/>
      <c r="S32" s="276" t="n"/>
      <c r="T32" s="277" t="n"/>
      <c r="U32" s="278" t="n"/>
      <c r="V32" s="279" t="n"/>
      <c r="W32" s="276" t="n"/>
      <c r="X32" s="274" t="n"/>
      <c r="Y32" s="275" t="n"/>
      <c r="Z32" s="276" t="n"/>
      <c r="AA32" s="277" t="n"/>
      <c r="AB32" s="278" t="n"/>
      <c r="AC32" s="279" t="n"/>
      <c r="AD32" s="276" t="n"/>
      <c r="AE32" s="274" t="n"/>
      <c r="AF32" s="275" t="n"/>
      <c r="AG32" s="276" t="n"/>
      <c r="AH32" s="277" t="n"/>
      <c r="AI32" s="278" t="n"/>
      <c r="AJ32" s="279" t="n"/>
      <c r="AK32" s="276" t="n"/>
    </row>
    <row r="33" outlineLevel="1" ht="15.75" customHeight="1" s="180">
      <c r="A33" s="171" t="n"/>
      <c r="B33" s="171" t="n"/>
      <c r="C33" s="274" t="n"/>
      <c r="D33" s="275" t="n"/>
      <c r="E33" s="276" t="n"/>
      <c r="F33" s="277" t="n"/>
      <c r="G33" s="278" t="n"/>
      <c r="H33" s="279" t="n"/>
      <c r="I33" s="276" t="n"/>
      <c r="J33" s="274" t="n"/>
      <c r="K33" s="275" t="n"/>
      <c r="L33" s="276" t="n"/>
      <c r="M33" s="277" t="n"/>
      <c r="N33" s="278" t="n"/>
      <c r="O33" s="279" t="n"/>
      <c r="P33" s="276" t="n"/>
      <c r="Q33" s="274" t="n"/>
      <c r="R33" s="275" t="n"/>
      <c r="S33" s="276" t="n"/>
      <c r="T33" s="277" t="n"/>
      <c r="U33" s="278" t="n"/>
      <c r="V33" s="279" t="n"/>
      <c r="W33" s="276" t="n"/>
      <c r="X33" s="274" t="n"/>
      <c r="Y33" s="275" t="n"/>
      <c r="Z33" s="276" t="n"/>
      <c r="AA33" s="277" t="n"/>
      <c r="AB33" s="278" t="n"/>
      <c r="AC33" s="279" t="n"/>
      <c r="AD33" s="276" t="n"/>
      <c r="AE33" s="274" t="n"/>
      <c r="AF33" s="275" t="n"/>
      <c r="AG33" s="276" t="n"/>
      <c r="AH33" s="277" t="n"/>
      <c r="AI33" s="278" t="n"/>
      <c r="AJ33" s="279" t="n"/>
      <c r="AK33" s="276" t="n"/>
    </row>
    <row r="34" outlineLevel="1" ht="15.75" customHeight="1" s="180" thickBot="1">
      <c r="A34" s="171" t="n"/>
      <c r="B34" s="171" t="n"/>
      <c r="C34" s="280" t="n"/>
      <c r="D34" s="281" t="n"/>
      <c r="E34" s="282" t="n"/>
      <c r="F34" s="283" t="n"/>
      <c r="G34" s="284" t="n"/>
      <c r="H34" s="285" t="n"/>
      <c r="I34" s="282" t="n"/>
      <c r="J34" s="280" t="n"/>
      <c r="K34" s="281" t="n"/>
      <c r="L34" s="282" t="n"/>
      <c r="M34" s="283" t="n"/>
      <c r="N34" s="284" t="n"/>
      <c r="O34" s="285" t="n"/>
      <c r="P34" s="282" t="n"/>
      <c r="Q34" s="280" t="n"/>
      <c r="R34" s="281" t="n"/>
      <c r="S34" s="282" t="n"/>
      <c r="T34" s="283" t="n"/>
      <c r="U34" s="284" t="n"/>
      <c r="V34" s="285" t="n"/>
      <c r="W34" s="282" t="n"/>
      <c r="X34" s="280" t="n"/>
      <c r="Y34" s="281" t="n"/>
      <c r="Z34" s="282" t="n"/>
      <c r="AA34" s="283" t="n"/>
      <c r="AB34" s="284" t="n"/>
      <c r="AC34" s="285" t="n"/>
      <c r="AD34" s="282" t="n"/>
      <c r="AE34" s="280" t="n"/>
      <c r="AF34" s="281" t="n"/>
      <c r="AG34" s="282" t="n"/>
      <c r="AH34" s="283" t="n"/>
      <c r="AI34" s="284" t="n"/>
      <c r="AJ34" s="285" t="n"/>
      <c r="AK34" s="282" t="n"/>
    </row>
    <row r="35" collapsed="1" ht="19" customHeight="1" s="180" thickBot="1">
      <c r="A35" s="261" t="inlineStr">
        <is>
          <t>TEACHING RELIEF</t>
        </is>
      </c>
      <c r="B35" s="198" t="n"/>
      <c r="C35" s="262">
        <f>SUM(C36:C45)</f>
        <v/>
      </c>
      <c r="D35" s="267">
        <f>SUM(D36:D45)</f>
        <v/>
      </c>
      <c r="E35" s="264">
        <f>SUM(E36:E45)</f>
        <v/>
      </c>
      <c r="F35" s="286">
        <f>SUM(F36:F45)</f>
        <v/>
      </c>
      <c r="G35" s="266">
        <f>SUM(G36:G45)</f>
        <v/>
      </c>
      <c r="H35" s="267">
        <f>SUM(H36:H45)</f>
        <v/>
      </c>
      <c r="I35" s="264">
        <f>SUM(I36:I45)</f>
        <v/>
      </c>
      <c r="J35" s="262">
        <f>SUM(J36:J45)</f>
        <v/>
      </c>
      <c r="K35" s="267">
        <f>SUM(K36:K45)</f>
        <v/>
      </c>
      <c r="L35" s="264">
        <f>SUM(L36:L45)</f>
        <v/>
      </c>
      <c r="M35" s="286">
        <f>SUM(M36:M45)</f>
        <v/>
      </c>
      <c r="N35" s="266">
        <f>SUM(N36:N45)</f>
        <v/>
      </c>
      <c r="O35" s="267">
        <f>SUM(O36:O45)</f>
        <v/>
      </c>
      <c r="P35" s="264">
        <f>SUM(P36:P45)</f>
        <v/>
      </c>
      <c r="Q35" s="262">
        <f>SUM(Q36:Q45)</f>
        <v/>
      </c>
      <c r="R35" s="267">
        <f>SUM(R36:R45)</f>
        <v/>
      </c>
      <c r="S35" s="264">
        <f>SUM(S36:S45)</f>
        <v/>
      </c>
      <c r="T35" s="286">
        <f>SUM(T36:T45)</f>
        <v/>
      </c>
      <c r="U35" s="266">
        <f>SUM(U36:U45)</f>
        <v/>
      </c>
      <c r="V35" s="267">
        <f>SUM(V36:V45)</f>
        <v/>
      </c>
      <c r="W35" s="264">
        <f>SUM(W36:W45)</f>
        <v/>
      </c>
      <c r="X35" s="262">
        <f>SUM(X36:X45)</f>
        <v/>
      </c>
      <c r="Y35" s="267">
        <f>SUM(Y36:Y45)</f>
        <v/>
      </c>
      <c r="Z35" s="264">
        <f>SUM(Z36:Z45)</f>
        <v/>
      </c>
      <c r="AA35" s="286">
        <f>SUM(AA36:AA45)</f>
        <v/>
      </c>
      <c r="AB35" s="266">
        <f>SUM(AB36:AB45)</f>
        <v/>
      </c>
      <c r="AC35" s="267">
        <f>SUM(AC36:AC45)</f>
        <v/>
      </c>
      <c r="AD35" s="264">
        <f>SUM(AD36:AD45)</f>
        <v/>
      </c>
      <c r="AE35" s="262">
        <f>SUM(AE36:AE45)</f>
        <v/>
      </c>
      <c r="AF35" s="267">
        <f>SUM(AF36:AF45)</f>
        <v/>
      </c>
      <c r="AG35" s="264">
        <f>SUM(AG36:AG45)</f>
        <v/>
      </c>
      <c r="AH35" s="286">
        <f>SUM(AH36:AH45)</f>
        <v/>
      </c>
      <c r="AI35" s="266">
        <f>SUM(AI36:AI45)</f>
        <v/>
      </c>
      <c r="AJ35" s="267">
        <f>SUM(AJ36:AJ45)</f>
        <v/>
      </c>
      <c r="AK35" s="264">
        <f>SUM(AK36:AK45)</f>
        <v/>
      </c>
    </row>
    <row r="36" hidden="1" outlineLevel="1" ht="15.75" customHeight="1" s="180">
      <c r="A36" s="287" t="n"/>
      <c r="B36" s="179" t="n"/>
      <c r="C36" s="268" t="n"/>
      <c r="D36" s="269" t="n"/>
      <c r="E36" s="270" t="n"/>
      <c r="F36" s="271" t="n"/>
      <c r="G36" s="272" t="n"/>
      <c r="H36" s="273" t="n"/>
      <c r="I36" s="270" t="n"/>
      <c r="J36" s="268" t="n"/>
      <c r="K36" s="269" t="n"/>
      <c r="L36" s="270" t="n"/>
      <c r="M36" s="271" t="n"/>
      <c r="N36" s="272" t="n"/>
      <c r="O36" s="273" t="n"/>
      <c r="P36" s="270" t="n"/>
      <c r="Q36" s="268" t="n"/>
      <c r="R36" s="269" t="n"/>
      <c r="S36" s="270" t="n"/>
      <c r="T36" s="271" t="n"/>
      <c r="U36" s="272" t="n"/>
      <c r="V36" s="273" t="n"/>
      <c r="W36" s="270" t="n"/>
      <c r="X36" s="268" t="n"/>
      <c r="Y36" s="269" t="n"/>
      <c r="Z36" s="270" t="n"/>
      <c r="AA36" s="271" t="n"/>
      <c r="AB36" s="272" t="n"/>
      <c r="AC36" s="273" t="n"/>
      <c r="AD36" s="270" t="n"/>
      <c r="AE36" s="268" t="n"/>
      <c r="AF36" s="269" t="n"/>
      <c r="AG36" s="270" t="n"/>
      <c r="AH36" s="271" t="n"/>
      <c r="AI36" s="272" t="n"/>
      <c r="AJ36" s="273" t="n"/>
      <c r="AK36" s="270" t="n"/>
    </row>
    <row r="37" hidden="1" outlineLevel="1" ht="15.75" customHeight="1" s="180">
      <c r="A37" s="288" t="n"/>
      <c r="B37" s="171" t="n"/>
      <c r="C37" s="274" t="n"/>
      <c r="D37" s="275" t="n"/>
      <c r="E37" s="276" t="n"/>
      <c r="F37" s="277" t="n"/>
      <c r="G37" s="278" t="n"/>
      <c r="H37" s="275" t="n"/>
      <c r="I37" s="276" t="n"/>
      <c r="J37" s="274" t="n"/>
      <c r="K37" s="275" t="n"/>
      <c r="L37" s="276" t="n"/>
      <c r="M37" s="277" t="n"/>
      <c r="N37" s="278" t="n"/>
      <c r="O37" s="275" t="n"/>
      <c r="P37" s="276" t="n"/>
      <c r="Q37" s="274" t="n"/>
      <c r="R37" s="275" t="n"/>
      <c r="S37" s="276" t="n"/>
      <c r="T37" s="277" t="n"/>
      <c r="U37" s="278" t="n"/>
      <c r="V37" s="275" t="n"/>
      <c r="W37" s="276" t="n"/>
      <c r="X37" s="274" t="n"/>
      <c r="Y37" s="275" t="n"/>
      <c r="Z37" s="276" t="n"/>
      <c r="AA37" s="277" t="n"/>
      <c r="AB37" s="278" t="n"/>
      <c r="AC37" s="275" t="n"/>
      <c r="AD37" s="276" t="n"/>
      <c r="AE37" s="274" t="n"/>
      <c r="AF37" s="275" t="n"/>
      <c r="AG37" s="276" t="n"/>
      <c r="AH37" s="277" t="n"/>
      <c r="AI37" s="278" t="n"/>
      <c r="AJ37" s="275" t="n"/>
      <c r="AK37" s="276" t="n"/>
    </row>
    <row r="38" hidden="1" outlineLevel="1" ht="15.75" customHeight="1" s="180">
      <c r="A38" s="288" t="n"/>
      <c r="B38" s="171" t="n"/>
      <c r="C38" s="274" t="n"/>
      <c r="D38" s="275" t="n"/>
      <c r="E38" s="276" t="n"/>
      <c r="F38" s="277" t="n"/>
      <c r="G38" s="278" t="n"/>
      <c r="H38" s="275" t="n"/>
      <c r="I38" s="276" t="n"/>
      <c r="J38" s="274" t="n"/>
      <c r="K38" s="275" t="n"/>
      <c r="L38" s="276" t="n"/>
      <c r="M38" s="277" t="n"/>
      <c r="N38" s="278" t="n"/>
      <c r="O38" s="275" t="n"/>
      <c r="P38" s="276" t="n"/>
      <c r="Q38" s="274" t="n"/>
      <c r="R38" s="275" t="n"/>
      <c r="S38" s="276" t="n"/>
      <c r="T38" s="277" t="n"/>
      <c r="U38" s="278" t="n"/>
      <c r="V38" s="275" t="n"/>
      <c r="W38" s="276" t="n"/>
      <c r="X38" s="274" t="n"/>
      <c r="Y38" s="275" t="n"/>
      <c r="Z38" s="276" t="n"/>
      <c r="AA38" s="277" t="n"/>
      <c r="AB38" s="278" t="n"/>
      <c r="AC38" s="275" t="n"/>
      <c r="AD38" s="276" t="n"/>
      <c r="AE38" s="274" t="n"/>
      <c r="AF38" s="275" t="n"/>
      <c r="AG38" s="276" t="n"/>
      <c r="AH38" s="277" t="n"/>
      <c r="AI38" s="278" t="n"/>
      <c r="AJ38" s="275" t="n"/>
      <c r="AK38" s="276" t="n"/>
    </row>
    <row r="39" hidden="1" outlineLevel="1" ht="15.75" customHeight="1" s="180">
      <c r="A39" s="288" t="n"/>
      <c r="B39" s="171" t="n"/>
      <c r="C39" s="274" t="n"/>
      <c r="D39" s="275" t="n"/>
      <c r="E39" s="276" t="n"/>
      <c r="F39" s="277" t="n"/>
      <c r="G39" s="278" t="n"/>
      <c r="H39" s="275" t="n"/>
      <c r="I39" s="276" t="n"/>
      <c r="J39" s="274" t="n"/>
      <c r="K39" s="275" t="n"/>
      <c r="L39" s="276" t="n"/>
      <c r="M39" s="277" t="n"/>
      <c r="N39" s="278" t="n"/>
      <c r="O39" s="275" t="n"/>
      <c r="P39" s="276" t="n"/>
      <c r="Q39" s="274" t="n"/>
      <c r="R39" s="275" t="n"/>
      <c r="S39" s="276" t="n"/>
      <c r="T39" s="277" t="n"/>
      <c r="U39" s="278" t="n"/>
      <c r="V39" s="275" t="n"/>
      <c r="W39" s="276" t="n"/>
      <c r="X39" s="274" t="n"/>
      <c r="Y39" s="275" t="n"/>
      <c r="Z39" s="276" t="n"/>
      <c r="AA39" s="277" t="n"/>
      <c r="AB39" s="278" t="n"/>
      <c r="AC39" s="275" t="n"/>
      <c r="AD39" s="276" t="n"/>
      <c r="AE39" s="274" t="n"/>
      <c r="AF39" s="275" t="n"/>
      <c r="AG39" s="276" t="n"/>
      <c r="AH39" s="277" t="n"/>
      <c r="AI39" s="278" t="n"/>
      <c r="AJ39" s="275" t="n"/>
      <c r="AK39" s="276" t="n"/>
    </row>
    <row r="40" hidden="1" outlineLevel="1" ht="15.75" customHeight="1" s="180">
      <c r="A40" s="288" t="n"/>
      <c r="B40" s="171" t="n"/>
      <c r="C40" s="274" t="n"/>
      <c r="D40" s="275" t="n"/>
      <c r="E40" s="276" t="n"/>
      <c r="F40" s="277" t="n"/>
      <c r="G40" s="278" t="n"/>
      <c r="H40" s="275" t="n"/>
      <c r="I40" s="276" t="n"/>
      <c r="J40" s="274" t="n"/>
      <c r="K40" s="275" t="n"/>
      <c r="L40" s="276" t="n"/>
      <c r="M40" s="277" t="n"/>
      <c r="N40" s="278" t="n"/>
      <c r="O40" s="275" t="n"/>
      <c r="P40" s="276" t="n"/>
      <c r="Q40" s="274" t="n"/>
      <c r="R40" s="275" t="n"/>
      <c r="S40" s="276" t="n"/>
      <c r="T40" s="277" t="n"/>
      <c r="U40" s="278" t="n"/>
      <c r="V40" s="275" t="n"/>
      <c r="W40" s="276" t="n"/>
      <c r="X40" s="274" t="n"/>
      <c r="Y40" s="275" t="n"/>
      <c r="Z40" s="276" t="n"/>
      <c r="AA40" s="277" t="n"/>
      <c r="AB40" s="278" t="n"/>
      <c r="AC40" s="275" t="n"/>
      <c r="AD40" s="276" t="n"/>
      <c r="AE40" s="274" t="n"/>
      <c r="AF40" s="275" t="n"/>
      <c r="AG40" s="276" t="n"/>
      <c r="AH40" s="277" t="n"/>
      <c r="AI40" s="278" t="n"/>
      <c r="AJ40" s="275" t="n"/>
      <c r="AK40" s="276" t="n"/>
    </row>
    <row r="41" hidden="1" outlineLevel="1" ht="15.75" customHeight="1" s="180">
      <c r="A41" s="288" t="n"/>
      <c r="B41" s="171" t="n"/>
      <c r="C41" s="274" t="n"/>
      <c r="D41" s="275" t="n"/>
      <c r="E41" s="276" t="n"/>
      <c r="F41" s="277" t="n"/>
      <c r="G41" s="278" t="n"/>
      <c r="H41" s="275" t="n"/>
      <c r="I41" s="276" t="n"/>
      <c r="J41" s="274" t="n"/>
      <c r="K41" s="275" t="n"/>
      <c r="L41" s="276" t="n"/>
      <c r="M41" s="277" t="n"/>
      <c r="N41" s="278" t="n"/>
      <c r="O41" s="275" t="n"/>
      <c r="P41" s="276" t="n"/>
      <c r="Q41" s="274" t="n"/>
      <c r="R41" s="275" t="n"/>
      <c r="S41" s="276" t="n"/>
      <c r="T41" s="277" t="n"/>
      <c r="U41" s="278" t="n"/>
      <c r="V41" s="275" t="n"/>
      <c r="W41" s="276" t="n"/>
      <c r="X41" s="274" t="n"/>
      <c r="Y41" s="275" t="n"/>
      <c r="Z41" s="276" t="n"/>
      <c r="AA41" s="277" t="n"/>
      <c r="AB41" s="278" t="n"/>
      <c r="AC41" s="275" t="n"/>
      <c r="AD41" s="276" t="n"/>
      <c r="AE41" s="274" t="n"/>
      <c r="AF41" s="275" t="n"/>
      <c r="AG41" s="276" t="n"/>
      <c r="AH41" s="277" t="n"/>
      <c r="AI41" s="278" t="n"/>
      <c r="AJ41" s="275" t="n"/>
      <c r="AK41" s="276" t="n"/>
    </row>
    <row r="42" hidden="1" outlineLevel="1" ht="15.75" customHeight="1" s="180">
      <c r="A42" s="288" t="n"/>
      <c r="B42" s="171" t="n"/>
      <c r="C42" s="274" t="n"/>
      <c r="D42" s="275" t="n"/>
      <c r="E42" s="276" t="n"/>
      <c r="F42" s="277" t="n"/>
      <c r="G42" s="278" t="n"/>
      <c r="H42" s="275" t="n"/>
      <c r="I42" s="276" t="n"/>
      <c r="J42" s="274" t="n"/>
      <c r="K42" s="275" t="n"/>
      <c r="L42" s="276" t="n"/>
      <c r="M42" s="277" t="n"/>
      <c r="N42" s="278" t="n"/>
      <c r="O42" s="275" t="n"/>
      <c r="P42" s="276" t="n"/>
      <c r="Q42" s="274" t="n"/>
      <c r="R42" s="275" t="n"/>
      <c r="S42" s="276" t="n"/>
      <c r="T42" s="277" t="n"/>
      <c r="U42" s="278" t="n"/>
      <c r="V42" s="275" t="n"/>
      <c r="W42" s="276" t="n"/>
      <c r="X42" s="274" t="n"/>
      <c r="Y42" s="275" t="n"/>
      <c r="Z42" s="276" t="n"/>
      <c r="AA42" s="277" t="n"/>
      <c r="AB42" s="278" t="n"/>
      <c r="AC42" s="275" t="n"/>
      <c r="AD42" s="276" t="n"/>
      <c r="AE42" s="274" t="n"/>
      <c r="AF42" s="275" t="n"/>
      <c r="AG42" s="276" t="n"/>
      <c r="AH42" s="277" t="n"/>
      <c r="AI42" s="278" t="n"/>
      <c r="AJ42" s="275" t="n"/>
      <c r="AK42" s="276" t="n"/>
    </row>
    <row r="43" hidden="1" outlineLevel="1" ht="15.75" customHeight="1" s="180">
      <c r="A43" s="288" t="n"/>
      <c r="B43" s="171" t="n"/>
      <c r="C43" s="274" t="n"/>
      <c r="D43" s="275" t="n"/>
      <c r="E43" s="276" t="n"/>
      <c r="F43" s="277" t="n"/>
      <c r="G43" s="278" t="n"/>
      <c r="H43" s="275" t="n"/>
      <c r="I43" s="276" t="n"/>
      <c r="J43" s="274" t="n"/>
      <c r="K43" s="275" t="n"/>
      <c r="L43" s="276" t="n"/>
      <c r="M43" s="277" t="n"/>
      <c r="N43" s="278" t="n"/>
      <c r="O43" s="275" t="n"/>
      <c r="P43" s="276" t="n"/>
      <c r="Q43" s="274" t="n"/>
      <c r="R43" s="275" t="n"/>
      <c r="S43" s="276" t="n"/>
      <c r="T43" s="277" t="n"/>
      <c r="U43" s="278" t="n"/>
      <c r="V43" s="275" t="n"/>
      <c r="W43" s="276" t="n"/>
      <c r="X43" s="274" t="n"/>
      <c r="Y43" s="275" t="n"/>
      <c r="Z43" s="276" t="n"/>
      <c r="AA43" s="277" t="n"/>
      <c r="AB43" s="278" t="n"/>
      <c r="AC43" s="275" t="n"/>
      <c r="AD43" s="276" t="n"/>
      <c r="AE43" s="274" t="n"/>
      <c r="AF43" s="275" t="n"/>
      <c r="AG43" s="276" t="n"/>
      <c r="AH43" s="277" t="n"/>
      <c r="AI43" s="278" t="n"/>
      <c r="AJ43" s="275" t="n"/>
      <c r="AK43" s="276" t="n"/>
    </row>
    <row r="44" hidden="1" outlineLevel="1" ht="15.75" customHeight="1" s="180">
      <c r="A44" s="288" t="n"/>
      <c r="B44" s="171" t="n"/>
      <c r="C44" s="274" t="n"/>
      <c r="D44" s="275" t="n"/>
      <c r="E44" s="276" t="n"/>
      <c r="F44" s="277" t="n"/>
      <c r="G44" s="278" t="n"/>
      <c r="H44" s="275" t="n"/>
      <c r="I44" s="276" t="n"/>
      <c r="J44" s="274" t="n"/>
      <c r="K44" s="275" t="n"/>
      <c r="L44" s="276" t="n"/>
      <c r="M44" s="277" t="n"/>
      <c r="N44" s="278" t="n"/>
      <c r="O44" s="275" t="n"/>
      <c r="P44" s="276" t="n"/>
      <c r="Q44" s="274" t="n"/>
      <c r="R44" s="275" t="n"/>
      <c r="S44" s="276" t="n"/>
      <c r="T44" s="277" t="n"/>
      <c r="U44" s="278" t="n"/>
      <c r="V44" s="275" t="n"/>
      <c r="W44" s="276" t="n"/>
      <c r="X44" s="274" t="n"/>
      <c r="Y44" s="275" t="n"/>
      <c r="Z44" s="276" t="n"/>
      <c r="AA44" s="277" t="n"/>
      <c r="AB44" s="278" t="n"/>
      <c r="AC44" s="275" t="n"/>
      <c r="AD44" s="276" t="n"/>
      <c r="AE44" s="274" t="n"/>
      <c r="AF44" s="275" t="n"/>
      <c r="AG44" s="276" t="n"/>
      <c r="AH44" s="277" t="n"/>
      <c r="AI44" s="278" t="n"/>
      <c r="AJ44" s="275" t="n"/>
      <c r="AK44" s="276" t="n"/>
    </row>
    <row r="45" hidden="1" outlineLevel="1" ht="15.75" customHeight="1" s="180" thickBot="1">
      <c r="A45" s="172" t="n"/>
      <c r="B45" s="173" t="n"/>
      <c r="C45" s="280" t="n"/>
      <c r="D45" s="77" t="n"/>
      <c r="E45" s="78" t="n"/>
      <c r="F45" s="79" t="n"/>
      <c r="G45" s="87" t="n"/>
      <c r="H45" s="77" t="n"/>
      <c r="I45" s="78" t="n"/>
      <c r="J45" s="280" t="n"/>
      <c r="K45" s="77" t="n"/>
      <c r="L45" s="78" t="n"/>
      <c r="M45" s="79" t="n"/>
      <c r="N45" s="87" t="n"/>
      <c r="O45" s="77" t="n"/>
      <c r="P45" s="78" t="n"/>
      <c r="Q45" s="280" t="n"/>
      <c r="R45" s="77" t="n"/>
      <c r="S45" s="78" t="n"/>
      <c r="T45" s="79" t="n"/>
      <c r="U45" s="87" t="n"/>
      <c r="V45" s="77" t="n"/>
      <c r="W45" s="78" t="n"/>
      <c r="X45" s="280" t="n"/>
      <c r="Y45" s="77" t="n"/>
      <c r="Z45" s="78" t="n"/>
      <c r="AA45" s="79" t="n"/>
      <c r="AB45" s="87" t="n"/>
      <c r="AC45" s="77" t="n"/>
      <c r="AD45" s="78" t="n"/>
      <c r="AE45" s="280" t="n"/>
      <c r="AF45" s="77" t="n"/>
      <c r="AG45" s="78" t="n"/>
      <c r="AH45" s="79" t="n"/>
      <c r="AI45" s="87" t="n"/>
      <c r="AJ45" s="77" t="n"/>
      <c r="AK45" s="78" t="n"/>
    </row>
    <row r="46" ht="19" customHeight="1" s="180" thickBot="1">
      <c r="A46" s="261" t="inlineStr">
        <is>
          <t>TRAVEL</t>
        </is>
      </c>
      <c r="B46" s="198" t="n"/>
      <c r="C46" s="262">
        <f>SUM(C47:C65)</f>
        <v/>
      </c>
      <c r="D46" s="267">
        <f>SUM(D47:D65)</f>
        <v/>
      </c>
      <c r="E46" s="264">
        <f>SUM(E47:E65)</f>
        <v/>
      </c>
      <c r="F46" s="286">
        <f>SUM(F47:F65)</f>
        <v/>
      </c>
      <c r="G46" s="266">
        <f>SUM(G47:G65)</f>
        <v/>
      </c>
      <c r="H46" s="267">
        <f>SUM(H47:H65)</f>
        <v/>
      </c>
      <c r="I46" s="264">
        <f>SUM(I47:I65)</f>
        <v/>
      </c>
      <c r="J46" s="262">
        <f>SUM(J47:J65)</f>
        <v/>
      </c>
      <c r="K46" s="267">
        <f>SUM(K47:K65)</f>
        <v/>
      </c>
      <c r="L46" s="264">
        <f>SUM(L47:L65)</f>
        <v/>
      </c>
      <c r="M46" s="286">
        <f>SUM(M47:M65)</f>
        <v/>
      </c>
      <c r="N46" s="266">
        <f>SUM(N47:N65)</f>
        <v/>
      </c>
      <c r="O46" s="267">
        <f>SUM(O47:O65)</f>
        <v/>
      </c>
      <c r="P46" s="264">
        <f>SUM(P47:P65)</f>
        <v/>
      </c>
      <c r="Q46" s="262">
        <f>SUM(Q47:Q65)</f>
        <v/>
      </c>
      <c r="R46" s="267">
        <f>SUM(R47:R65)</f>
        <v/>
      </c>
      <c r="S46" s="264">
        <f>SUM(S47:S65)</f>
        <v/>
      </c>
      <c r="T46" s="286">
        <f>SUM(T47:T65)</f>
        <v/>
      </c>
      <c r="U46" s="266">
        <f>SUM(U47:U65)</f>
        <v/>
      </c>
      <c r="V46" s="267">
        <f>SUM(V47:V65)</f>
        <v/>
      </c>
      <c r="W46" s="264">
        <f>SUM(W47:W65)</f>
        <v/>
      </c>
      <c r="X46" s="262">
        <f>SUM(X47:X65)</f>
        <v/>
      </c>
      <c r="Y46" s="267">
        <f>SUM(Y47:Y65)</f>
        <v/>
      </c>
      <c r="Z46" s="264">
        <f>SUM(Z47:Z65)</f>
        <v/>
      </c>
      <c r="AA46" s="286">
        <f>SUM(AA47:AA65)</f>
        <v/>
      </c>
      <c r="AB46" s="266">
        <f>SUM(AB47:AB65)</f>
        <v/>
      </c>
      <c r="AC46" s="267">
        <f>SUM(AC47:AC65)</f>
        <v/>
      </c>
      <c r="AD46" s="264">
        <f>SUM(AD47:AD65)</f>
        <v/>
      </c>
      <c r="AE46" s="262">
        <f>SUM(AE47:AE65)</f>
        <v/>
      </c>
      <c r="AF46" s="267">
        <f>SUM(AF47:AF65)</f>
        <v/>
      </c>
      <c r="AG46" s="264">
        <f>SUM(AG47:AG65)</f>
        <v/>
      </c>
      <c r="AH46" s="286">
        <f>SUM(AH47:AH65)</f>
        <v/>
      </c>
      <c r="AI46" s="266">
        <f>SUM(AI47:AI65)</f>
        <v/>
      </c>
      <c r="AJ46" s="267">
        <f>SUM(AJ47:AJ65)</f>
        <v/>
      </c>
      <c r="AK46" s="264">
        <f>SUM(AK47:AK65)</f>
        <v/>
      </c>
    </row>
    <row r="47" outlineLevel="1" ht="15.75" customHeight="1" s="180">
      <c r="A47" s="287" t="n"/>
      <c r="B47" s="179" t="n"/>
      <c r="C47" s="268" t="n"/>
      <c r="D47" s="269" t="n"/>
      <c r="E47" s="270" t="n"/>
      <c r="F47" s="271" t="n"/>
      <c r="G47" s="272" t="n"/>
      <c r="H47" s="273" t="n"/>
      <c r="I47" s="270" t="n"/>
      <c r="J47" s="268" t="n"/>
      <c r="K47" s="269" t="n"/>
      <c r="L47" s="270" t="n"/>
      <c r="M47" s="271" t="n"/>
      <c r="N47" s="272" t="n"/>
      <c r="O47" s="273" t="n"/>
      <c r="P47" s="270" t="n"/>
      <c r="Q47" s="268" t="n"/>
      <c r="R47" s="269" t="n"/>
      <c r="S47" s="270" t="n"/>
      <c r="T47" s="271" t="n"/>
      <c r="U47" s="272" t="n"/>
      <c r="V47" s="273" t="n"/>
      <c r="W47" s="270" t="n"/>
      <c r="X47" s="268" t="n"/>
      <c r="Y47" s="269" t="n"/>
      <c r="Z47" s="270" t="n"/>
      <c r="AA47" s="271" t="n"/>
      <c r="AB47" s="272" t="n"/>
      <c r="AC47" s="273" t="n"/>
      <c r="AD47" s="270" t="n"/>
      <c r="AE47" s="268" t="n"/>
      <c r="AF47" s="269" t="n"/>
      <c r="AG47" s="270" t="n"/>
      <c r="AH47" s="271" t="n"/>
      <c r="AI47" s="272" t="n"/>
      <c r="AJ47" s="273" t="n"/>
      <c r="AK47" s="270" t="n"/>
    </row>
    <row r="48" outlineLevel="1" ht="15.75" customHeight="1" s="180">
      <c r="A48" s="288" t="inlineStr">
        <is>
          <t>Year 1 US security conference travel for CI + HDR
Budget covers return economy airfares for two travellers ($8,150), six nights of accommodation near the venue ($4,000), two conference registrations ($2,700), and local transport and incidentals ($1,370).</t>
        </is>
      </c>
      <c r="B48" s="171" t="n"/>
      <c r="C48" s="274" t="n">
        <v>16220</v>
      </c>
      <c r="D48" s="275" t="n">
        <v>0</v>
      </c>
      <c r="E48" s="276" t="n">
        <v>0</v>
      </c>
      <c r="F48" s="277" t="n"/>
      <c r="G48" s="278" t="n"/>
      <c r="H48" s="279" t="n"/>
      <c r="I48" s="276" t="n"/>
      <c r="J48" s="274" t="n">
        <v>0</v>
      </c>
      <c r="K48" s="275" t="n">
        <v>0</v>
      </c>
      <c r="L48" s="276" t="n">
        <v>0</v>
      </c>
      <c r="M48" s="277" t="n"/>
      <c r="N48" s="278" t="n"/>
      <c r="O48" s="279" t="n"/>
      <c r="P48" s="276" t="n"/>
      <c r="Q48" s="274" t="n">
        <v>0</v>
      </c>
      <c r="R48" s="275" t="n">
        <v>0</v>
      </c>
      <c r="S48" s="276" t="n">
        <v>0</v>
      </c>
      <c r="T48" s="277" t="n"/>
      <c r="U48" s="278" t="n"/>
      <c r="V48" s="279" t="n"/>
      <c r="W48" s="276" t="n"/>
      <c r="X48" s="274" t="n">
        <v>0</v>
      </c>
      <c r="Y48" s="275" t="n">
        <v>0</v>
      </c>
      <c r="Z48" s="276" t="n">
        <v>0</v>
      </c>
      <c r="AA48" s="277" t="n"/>
      <c r="AB48" s="278" t="n"/>
      <c r="AC48" s="279" t="n"/>
      <c r="AD48" s="276" t="n"/>
      <c r="AE48" s="274" t="n">
        <v>0</v>
      </c>
      <c r="AF48" s="275" t="n">
        <v>0</v>
      </c>
      <c r="AG48" s="276" t="n">
        <v>0</v>
      </c>
      <c r="AH48" s="277" t="n"/>
      <c r="AI48" s="278" t="n"/>
      <c r="AJ48" s="279" t="n"/>
      <c r="AK48" s="276" t="n"/>
    </row>
    <row r="49" outlineLevel="1" ht="15.75" customHeight="1" s="180">
      <c r="A49" s="288" t="inlineStr">
        <is>
          <t>Year 2 US security conference travel for CI + HDR
Budget covers return economy airfares for two travellers ($8,250), six nights of accommodation near the venue ($4,050), two conference registrations ($2,850), and local transport and incidentals ($1,390).</t>
        </is>
      </c>
      <c r="B49" s="171" t="n"/>
      <c r="C49" s="274" t="n">
        <v>0</v>
      </c>
      <c r="D49" s="275" t="n">
        <v>0</v>
      </c>
      <c r="E49" s="276" t="n">
        <v>0</v>
      </c>
      <c r="F49" s="277" t="n"/>
      <c r="G49" s="278" t="n"/>
      <c r="H49" s="279" t="n"/>
      <c r="I49" s="276" t="n"/>
      <c r="J49" s="274" t="n">
        <v>16540</v>
      </c>
      <c r="K49" s="275" t="n">
        <v>0</v>
      </c>
      <c r="L49" s="276" t="n">
        <v>0</v>
      </c>
      <c r="M49" s="277" t="n"/>
      <c r="N49" s="278" t="n"/>
      <c r="O49" s="279" t="n"/>
      <c r="P49" s="276" t="n"/>
      <c r="Q49" s="274" t="n">
        <v>0</v>
      </c>
      <c r="R49" s="275" t="n">
        <v>0</v>
      </c>
      <c r="S49" s="276" t="n">
        <v>0</v>
      </c>
      <c r="T49" s="277" t="n"/>
      <c r="U49" s="278" t="n"/>
      <c r="V49" s="279" t="n"/>
      <c r="W49" s="276" t="n"/>
      <c r="X49" s="274" t="n">
        <v>0</v>
      </c>
      <c r="Y49" s="275" t="n">
        <v>0</v>
      </c>
      <c r="Z49" s="276" t="n">
        <v>0</v>
      </c>
      <c r="AA49" s="277" t="n"/>
      <c r="AB49" s="278" t="n"/>
      <c r="AC49" s="279" t="n"/>
      <c r="AD49" s="276" t="n"/>
      <c r="AE49" s="274" t="n">
        <v>0</v>
      </c>
      <c r="AF49" s="275" t="n">
        <v>0</v>
      </c>
      <c r="AG49" s="276" t="n">
        <v>0</v>
      </c>
      <c r="AH49" s="277" t="n"/>
      <c r="AI49" s="278" t="n"/>
      <c r="AJ49" s="279" t="n"/>
      <c r="AK49" s="276" t="n"/>
    </row>
    <row r="50" outlineLevel="1" ht="15.75" customHeight="1" s="180">
      <c r="A50" s="288" t="inlineStr">
        <is>
          <t>Year 3 US security conference travel for CI + HDR
Budget covers return economy airfares for two travellers ($8,450), six nights of accommodation near the venue ($4,150), two conference registrations ($2,950), and local transport and incidentals ($1,432).</t>
        </is>
      </c>
      <c r="B50" s="171" t="n"/>
      <c r="C50" s="274" t="n">
        <v>0</v>
      </c>
      <c r="D50" s="275" t="n">
        <v>0</v>
      </c>
      <c r="E50" s="276" t="n">
        <v>0</v>
      </c>
      <c r="F50" s="277" t="n"/>
      <c r="G50" s="278" t="n"/>
      <c r="H50" s="279" t="n"/>
      <c r="I50" s="276" t="n"/>
      <c r="J50" s="274" t="n">
        <v>0</v>
      </c>
      <c r="K50" s="275" t="n">
        <v>0</v>
      </c>
      <c r="L50" s="276" t="n">
        <v>0</v>
      </c>
      <c r="M50" s="277" t="n"/>
      <c r="N50" s="278" t="n"/>
      <c r="O50" s="279" t="n"/>
      <c r="P50" s="276" t="n"/>
      <c r="Q50" s="274" t="n">
        <v>16982</v>
      </c>
      <c r="R50" s="275" t="n">
        <v>0</v>
      </c>
      <c r="S50" s="276" t="n">
        <v>0</v>
      </c>
      <c r="T50" s="277" t="n"/>
      <c r="U50" s="278" t="n"/>
      <c r="V50" s="279" t="n"/>
      <c r="W50" s="276" t="n"/>
      <c r="X50" s="274" t="n">
        <v>0</v>
      </c>
      <c r="Y50" s="275" t="n">
        <v>0</v>
      </c>
      <c r="Z50" s="276" t="n">
        <v>0</v>
      </c>
      <c r="AA50" s="277" t="n"/>
      <c r="AB50" s="278" t="n"/>
      <c r="AC50" s="279" t="n"/>
      <c r="AD50" s="276" t="n"/>
      <c r="AE50" s="274" t="n">
        <v>0</v>
      </c>
      <c r="AF50" s="275" t="n">
        <v>0</v>
      </c>
      <c r="AG50" s="276" t="n">
        <v>0</v>
      </c>
      <c r="AH50" s="277" t="n"/>
      <c r="AI50" s="278" t="n"/>
      <c r="AJ50" s="279" t="n"/>
      <c r="AK50" s="276" t="n"/>
    </row>
    <row r="51" outlineLevel="1" ht="15.75" customHeight="1" s="180">
      <c r="A51" s="288" t="n"/>
      <c r="B51" s="171" t="n"/>
      <c r="C51" s="274" t="n"/>
      <c r="D51" s="275" t="n"/>
      <c r="E51" s="276" t="n"/>
      <c r="F51" s="277" t="n"/>
      <c r="G51" s="278" t="n"/>
      <c r="H51" s="279" t="n"/>
      <c r="I51" s="276" t="n"/>
      <c r="J51" s="274" t="n"/>
      <c r="K51" s="275" t="n"/>
      <c r="L51" s="276" t="n"/>
      <c r="M51" s="277" t="n"/>
      <c r="N51" s="278" t="n"/>
      <c r="O51" s="279" t="n"/>
      <c r="P51" s="276" t="n"/>
      <c r="Q51" s="274" t="n"/>
      <c r="R51" s="275" t="n"/>
      <c r="S51" s="276" t="n"/>
      <c r="T51" s="277" t="n"/>
      <c r="U51" s="278" t="n"/>
      <c r="V51" s="279" t="n"/>
      <c r="W51" s="276" t="n"/>
      <c r="X51" s="274" t="n"/>
      <c r="Y51" s="275" t="n"/>
      <c r="Z51" s="276" t="n"/>
      <c r="AA51" s="277" t="n"/>
      <c r="AB51" s="278" t="n"/>
      <c r="AC51" s="279" t="n"/>
      <c r="AD51" s="276" t="n"/>
      <c r="AE51" s="274" t="n"/>
      <c r="AF51" s="275" t="n"/>
      <c r="AG51" s="276" t="n"/>
      <c r="AH51" s="277" t="n"/>
      <c r="AI51" s="278" t="n"/>
      <c r="AJ51" s="279" t="n"/>
      <c r="AK51" s="276" t="n"/>
    </row>
    <row r="52" outlineLevel="1" ht="15.75" customHeight="1" s="180">
      <c r="A52" s="288" t="n"/>
      <c r="B52" s="171" t="n"/>
      <c r="C52" s="274" t="n"/>
      <c r="D52" s="275" t="n"/>
      <c r="E52" s="276" t="n"/>
      <c r="F52" s="277" t="n"/>
      <c r="G52" s="278" t="n"/>
      <c r="H52" s="279" t="n"/>
      <c r="I52" s="276" t="n"/>
      <c r="J52" s="274" t="n"/>
      <c r="K52" s="275" t="n"/>
      <c r="L52" s="276" t="n"/>
      <c r="M52" s="277" t="n"/>
      <c r="N52" s="278" t="n"/>
      <c r="O52" s="279" t="n"/>
      <c r="P52" s="276" t="n"/>
      <c r="Q52" s="274" t="n"/>
      <c r="R52" s="275" t="n"/>
      <c r="S52" s="276" t="n"/>
      <c r="T52" s="277" t="n"/>
      <c r="U52" s="278" t="n"/>
      <c r="V52" s="279" t="n"/>
      <c r="W52" s="276" t="n"/>
      <c r="X52" s="274" t="n"/>
      <c r="Y52" s="275" t="n"/>
      <c r="Z52" s="276" t="n"/>
      <c r="AA52" s="277" t="n"/>
      <c r="AB52" s="278" t="n"/>
      <c r="AC52" s="279" t="n"/>
      <c r="AD52" s="276" t="n"/>
      <c r="AE52" s="274" t="n"/>
      <c r="AF52" s="275" t="n"/>
      <c r="AG52" s="276" t="n"/>
      <c r="AH52" s="277" t="n"/>
      <c r="AI52" s="278" t="n"/>
      <c r="AJ52" s="279" t="n"/>
      <c r="AK52" s="276" t="n"/>
    </row>
    <row r="53" outlineLevel="1" ht="15.75" customHeight="1" s="180">
      <c r="A53" s="288" t="n"/>
      <c r="B53" s="171" t="n"/>
      <c r="C53" s="274" t="n"/>
      <c r="D53" s="275" t="n"/>
      <c r="E53" s="276" t="n"/>
      <c r="F53" s="277" t="n"/>
      <c r="G53" s="278" t="n"/>
      <c r="H53" s="279" t="n"/>
      <c r="I53" s="276" t="n"/>
      <c r="J53" s="274" t="n"/>
      <c r="K53" s="275" t="n"/>
      <c r="L53" s="276" t="n"/>
      <c r="M53" s="277" t="n"/>
      <c r="N53" s="278" t="n"/>
      <c r="O53" s="279" t="n"/>
      <c r="P53" s="276" t="n"/>
      <c r="Q53" s="274" t="n"/>
      <c r="R53" s="275" t="n"/>
      <c r="S53" s="276" t="n"/>
      <c r="T53" s="277" t="n"/>
      <c r="U53" s="278" t="n"/>
      <c r="V53" s="279" t="n"/>
      <c r="W53" s="276" t="n"/>
      <c r="X53" s="274" t="n"/>
      <c r="Y53" s="275" t="n"/>
      <c r="Z53" s="276" t="n"/>
      <c r="AA53" s="277" t="n"/>
      <c r="AB53" s="278" t="n"/>
      <c r="AC53" s="279" t="n"/>
      <c r="AD53" s="276" t="n"/>
      <c r="AE53" s="274" t="n"/>
      <c r="AF53" s="275" t="n"/>
      <c r="AG53" s="276" t="n"/>
      <c r="AH53" s="277" t="n"/>
      <c r="AI53" s="278" t="n"/>
      <c r="AJ53" s="279" t="n"/>
      <c r="AK53" s="276" t="n"/>
    </row>
    <row r="54" outlineLevel="1" ht="15.75" customHeight="1" s="180">
      <c r="A54" s="288" t="n"/>
      <c r="B54" s="171" t="n"/>
      <c r="C54" s="274" t="n"/>
      <c r="D54" s="275" t="n"/>
      <c r="E54" s="276" t="n"/>
      <c r="F54" s="277" t="n"/>
      <c r="G54" s="278" t="n"/>
      <c r="H54" s="279" t="n"/>
      <c r="I54" s="276" t="n"/>
      <c r="J54" s="274" t="n"/>
      <c r="K54" s="275" t="n"/>
      <c r="L54" s="276" t="n"/>
      <c r="M54" s="277" t="n"/>
      <c r="N54" s="278" t="n"/>
      <c r="O54" s="279" t="n"/>
      <c r="P54" s="276" t="n"/>
      <c r="Q54" s="274" t="n"/>
      <c r="R54" s="275" t="n"/>
      <c r="S54" s="276" t="n"/>
      <c r="T54" s="277" t="n"/>
      <c r="U54" s="278" t="n"/>
      <c r="V54" s="279" t="n"/>
      <c r="W54" s="276" t="n"/>
      <c r="X54" s="274" t="n"/>
      <c r="Y54" s="275" t="n"/>
      <c r="Z54" s="276" t="n"/>
      <c r="AA54" s="277" t="n"/>
      <c r="AB54" s="278" t="n"/>
      <c r="AC54" s="279" t="n"/>
      <c r="AD54" s="276" t="n"/>
      <c r="AE54" s="274" t="n"/>
      <c r="AF54" s="275" t="n"/>
      <c r="AG54" s="276" t="n"/>
      <c r="AH54" s="277" t="n"/>
      <c r="AI54" s="278" t="n"/>
      <c r="AJ54" s="279" t="n"/>
      <c r="AK54" s="276" t="n"/>
    </row>
    <row r="55" outlineLevel="1" ht="15.75" customHeight="1" s="180">
      <c r="A55" s="288" t="n"/>
      <c r="B55" s="171" t="n"/>
      <c r="C55" s="274" t="n"/>
      <c r="D55" s="275" t="n"/>
      <c r="E55" s="276" t="n"/>
      <c r="F55" s="277" t="n"/>
      <c r="G55" s="278" t="n"/>
      <c r="H55" s="279" t="n"/>
      <c r="I55" s="276" t="n"/>
      <c r="J55" s="274" t="n"/>
      <c r="K55" s="275" t="n"/>
      <c r="L55" s="276" t="n"/>
      <c r="M55" s="277" t="n"/>
      <c r="N55" s="278" t="n"/>
      <c r="O55" s="279" t="n"/>
      <c r="P55" s="276" t="n"/>
      <c r="Q55" s="274" t="n"/>
      <c r="R55" s="275" t="n"/>
      <c r="S55" s="276" t="n"/>
      <c r="T55" s="277" t="n"/>
      <c r="U55" s="278" t="n"/>
      <c r="V55" s="279" t="n"/>
      <c r="W55" s="276" t="n"/>
      <c r="X55" s="274" t="n"/>
      <c r="Y55" s="275" t="n"/>
      <c r="Z55" s="276" t="n"/>
      <c r="AA55" s="277" t="n"/>
      <c r="AB55" s="278" t="n"/>
      <c r="AC55" s="279" t="n"/>
      <c r="AD55" s="276" t="n"/>
      <c r="AE55" s="274" t="n"/>
      <c r="AF55" s="275" t="n"/>
      <c r="AG55" s="276" t="n"/>
      <c r="AH55" s="277" t="n"/>
      <c r="AI55" s="278" t="n"/>
      <c r="AJ55" s="279" t="n"/>
      <c r="AK55" s="276" t="n"/>
    </row>
    <row r="56" outlineLevel="1" ht="15.75" customHeight="1" s="180">
      <c r="A56" s="288" t="n"/>
      <c r="B56" s="171" t="n"/>
      <c r="C56" s="274" t="n"/>
      <c r="D56" s="275" t="n"/>
      <c r="E56" s="276" t="n"/>
      <c r="F56" s="277" t="n"/>
      <c r="G56" s="278" t="n"/>
      <c r="H56" s="279" t="n"/>
      <c r="I56" s="276" t="n"/>
      <c r="J56" s="274" t="n"/>
      <c r="K56" s="275" t="n"/>
      <c r="L56" s="276" t="n"/>
      <c r="M56" s="277" t="n"/>
      <c r="N56" s="278" t="n"/>
      <c r="O56" s="279" t="n"/>
      <c r="P56" s="276" t="n"/>
      <c r="Q56" s="274" t="n"/>
      <c r="R56" s="275" t="n"/>
      <c r="S56" s="276" t="n"/>
      <c r="T56" s="277" t="n"/>
      <c r="U56" s="278" t="n"/>
      <c r="V56" s="279" t="n"/>
      <c r="W56" s="276" t="n"/>
      <c r="X56" s="274" t="n"/>
      <c r="Y56" s="275" t="n"/>
      <c r="Z56" s="276" t="n"/>
      <c r="AA56" s="277" t="n"/>
      <c r="AB56" s="278" t="n"/>
      <c r="AC56" s="279" t="n"/>
      <c r="AD56" s="276" t="n"/>
      <c r="AE56" s="274" t="n"/>
      <c r="AF56" s="275" t="n"/>
      <c r="AG56" s="276" t="n"/>
      <c r="AH56" s="277" t="n"/>
      <c r="AI56" s="278" t="n"/>
      <c r="AJ56" s="279" t="n"/>
      <c r="AK56" s="276" t="n"/>
    </row>
    <row r="57" outlineLevel="1" ht="15.75" customHeight="1" s="180">
      <c r="A57" s="288" t="n"/>
      <c r="B57" s="171" t="n"/>
      <c r="C57" s="274" t="n"/>
      <c r="D57" s="275" t="n"/>
      <c r="E57" s="276" t="n"/>
      <c r="F57" s="277" t="n"/>
      <c r="G57" s="278" t="n"/>
      <c r="H57" s="279" t="n"/>
      <c r="I57" s="276" t="n"/>
      <c r="J57" s="274" t="n"/>
      <c r="K57" s="275" t="n"/>
      <c r="L57" s="276" t="n"/>
      <c r="M57" s="277" t="n"/>
      <c r="N57" s="278" t="n"/>
      <c r="O57" s="279" t="n"/>
      <c r="P57" s="276" t="n"/>
      <c r="Q57" s="274" t="n"/>
      <c r="R57" s="275" t="n"/>
      <c r="S57" s="276" t="n"/>
      <c r="T57" s="277" t="n"/>
      <c r="U57" s="278" t="n"/>
      <c r="V57" s="279" t="n"/>
      <c r="W57" s="276" t="n"/>
      <c r="X57" s="274" t="n"/>
      <c r="Y57" s="275" t="n"/>
      <c r="Z57" s="276" t="n"/>
      <c r="AA57" s="277" t="n"/>
      <c r="AB57" s="278" t="n"/>
      <c r="AC57" s="279" t="n"/>
      <c r="AD57" s="276" t="n"/>
      <c r="AE57" s="274" t="n"/>
      <c r="AF57" s="275" t="n"/>
      <c r="AG57" s="276" t="n"/>
      <c r="AH57" s="277" t="n"/>
      <c r="AI57" s="278" t="n"/>
      <c r="AJ57" s="279" t="n"/>
      <c r="AK57" s="276" t="n"/>
    </row>
    <row r="58" outlineLevel="1" ht="15.75" customHeight="1" s="180">
      <c r="A58" s="288" t="n"/>
      <c r="B58" s="171" t="n"/>
      <c r="C58" s="274" t="n"/>
      <c r="D58" s="275" t="n"/>
      <c r="E58" s="276" t="n"/>
      <c r="F58" s="277" t="n"/>
      <c r="G58" s="278" t="n"/>
      <c r="H58" s="279" t="n"/>
      <c r="I58" s="276" t="n"/>
      <c r="J58" s="274" t="n"/>
      <c r="K58" s="275" t="n"/>
      <c r="L58" s="276" t="n"/>
      <c r="M58" s="277" t="n"/>
      <c r="N58" s="278" t="n"/>
      <c r="O58" s="279" t="n"/>
      <c r="P58" s="276" t="n"/>
      <c r="Q58" s="274" t="n"/>
      <c r="R58" s="275" t="n"/>
      <c r="S58" s="276" t="n"/>
      <c r="T58" s="277" t="n"/>
      <c r="U58" s="278" t="n"/>
      <c r="V58" s="279" t="n"/>
      <c r="W58" s="276" t="n"/>
      <c r="X58" s="274" t="n"/>
      <c r="Y58" s="275" t="n"/>
      <c r="Z58" s="276" t="n"/>
      <c r="AA58" s="277" t="n"/>
      <c r="AB58" s="278" t="n"/>
      <c r="AC58" s="279" t="n"/>
      <c r="AD58" s="276" t="n"/>
      <c r="AE58" s="274" t="n"/>
      <c r="AF58" s="275" t="n"/>
      <c r="AG58" s="276" t="n"/>
      <c r="AH58" s="277" t="n"/>
      <c r="AI58" s="278" t="n"/>
      <c r="AJ58" s="279" t="n"/>
      <c r="AK58" s="276" t="n"/>
    </row>
    <row r="59" outlineLevel="1" ht="15.75" customHeight="1" s="180">
      <c r="A59" s="288" t="n"/>
      <c r="B59" s="171" t="n"/>
      <c r="C59" s="274" t="n"/>
      <c r="D59" s="275" t="n"/>
      <c r="E59" s="276" t="n"/>
      <c r="F59" s="277" t="n"/>
      <c r="G59" s="278" t="n"/>
      <c r="H59" s="279" t="n"/>
      <c r="I59" s="276" t="n"/>
      <c r="J59" s="274" t="n"/>
      <c r="K59" s="275" t="n"/>
      <c r="L59" s="276" t="n"/>
      <c r="M59" s="277" t="n"/>
      <c r="N59" s="278" t="n"/>
      <c r="O59" s="279" t="n"/>
      <c r="P59" s="276" t="n"/>
      <c r="Q59" s="274" t="n"/>
      <c r="R59" s="275" t="n"/>
      <c r="S59" s="276" t="n"/>
      <c r="T59" s="277" t="n"/>
      <c r="U59" s="278" t="n"/>
      <c r="V59" s="279" t="n"/>
      <c r="W59" s="276" t="n"/>
      <c r="X59" s="274" t="n"/>
      <c r="Y59" s="275" t="n"/>
      <c r="Z59" s="276" t="n"/>
      <c r="AA59" s="277" t="n"/>
      <c r="AB59" s="278" t="n"/>
      <c r="AC59" s="279" t="n"/>
      <c r="AD59" s="276" t="n"/>
      <c r="AE59" s="274" t="n"/>
      <c r="AF59" s="275" t="n"/>
      <c r="AG59" s="276" t="n"/>
      <c r="AH59" s="277" t="n"/>
      <c r="AI59" s="278" t="n"/>
      <c r="AJ59" s="279" t="n"/>
      <c r="AK59" s="276" t="n"/>
    </row>
    <row r="60" outlineLevel="1" ht="15.75" customHeight="1" s="180">
      <c r="A60" s="288" t="n"/>
      <c r="B60" s="171" t="n"/>
      <c r="C60" s="274" t="n"/>
      <c r="D60" s="275" t="n"/>
      <c r="E60" s="276" t="n"/>
      <c r="F60" s="277" t="n"/>
      <c r="G60" s="278" t="n"/>
      <c r="H60" s="279" t="n"/>
      <c r="I60" s="276" t="n"/>
      <c r="J60" s="274" t="n"/>
      <c r="K60" s="275" t="n"/>
      <c r="L60" s="276" t="n"/>
      <c r="M60" s="277" t="n"/>
      <c r="N60" s="278" t="n"/>
      <c r="O60" s="279" t="n"/>
      <c r="P60" s="276" t="n"/>
      <c r="Q60" s="274" t="n"/>
      <c r="R60" s="275" t="n"/>
      <c r="S60" s="276" t="n"/>
      <c r="T60" s="277" t="n"/>
      <c r="U60" s="278" t="n"/>
      <c r="V60" s="279" t="n"/>
      <c r="W60" s="276" t="n"/>
      <c r="X60" s="274" t="n"/>
      <c r="Y60" s="275" t="n"/>
      <c r="Z60" s="276" t="n"/>
      <c r="AA60" s="277" t="n"/>
      <c r="AB60" s="278" t="n"/>
      <c r="AC60" s="279" t="n"/>
      <c r="AD60" s="276" t="n"/>
      <c r="AE60" s="274" t="n"/>
      <c r="AF60" s="275" t="n"/>
      <c r="AG60" s="276" t="n"/>
      <c r="AH60" s="277" t="n"/>
      <c r="AI60" s="278" t="n"/>
      <c r="AJ60" s="279" t="n"/>
      <c r="AK60" s="276" t="n"/>
    </row>
    <row r="61" outlineLevel="1" ht="15.75" customHeight="1" s="180">
      <c r="A61" s="288" t="n"/>
      <c r="B61" s="171" t="n"/>
      <c r="C61" s="274" t="n"/>
      <c r="D61" s="275" t="n"/>
      <c r="E61" s="276" t="n"/>
      <c r="F61" s="277" t="n"/>
      <c r="G61" s="278" t="n"/>
      <c r="H61" s="279" t="n"/>
      <c r="I61" s="276" t="n"/>
      <c r="J61" s="274" t="n"/>
      <c r="K61" s="275" t="n"/>
      <c r="L61" s="276" t="n"/>
      <c r="M61" s="277" t="n"/>
      <c r="N61" s="278" t="n"/>
      <c r="O61" s="279" t="n"/>
      <c r="P61" s="276" t="n"/>
      <c r="Q61" s="274" t="n"/>
      <c r="R61" s="275" t="n"/>
      <c r="S61" s="276" t="n"/>
      <c r="T61" s="277" t="n"/>
      <c r="U61" s="278" t="n"/>
      <c r="V61" s="279" t="n"/>
      <c r="W61" s="276" t="n"/>
      <c r="X61" s="274" t="n"/>
      <c r="Y61" s="275" t="n"/>
      <c r="Z61" s="276" t="n"/>
      <c r="AA61" s="277" t="n"/>
      <c r="AB61" s="278" t="n"/>
      <c r="AC61" s="279" t="n"/>
      <c r="AD61" s="276" t="n"/>
      <c r="AE61" s="274" t="n"/>
      <c r="AF61" s="275" t="n"/>
      <c r="AG61" s="276" t="n"/>
      <c r="AH61" s="277" t="n"/>
      <c r="AI61" s="278" t="n"/>
      <c r="AJ61" s="279" t="n"/>
      <c r="AK61" s="276" t="n"/>
    </row>
    <row r="62" outlineLevel="1" ht="15.75" customHeight="1" s="180">
      <c r="A62" s="288" t="n"/>
      <c r="B62" s="171" t="n"/>
      <c r="C62" s="274" t="n"/>
      <c r="D62" s="275" t="n"/>
      <c r="E62" s="276" t="n"/>
      <c r="F62" s="277" t="n"/>
      <c r="G62" s="278" t="n"/>
      <c r="H62" s="279" t="n"/>
      <c r="I62" s="276" t="n"/>
      <c r="J62" s="274" t="n"/>
      <c r="K62" s="275" t="n"/>
      <c r="L62" s="276" t="n"/>
      <c r="M62" s="277" t="n"/>
      <c r="N62" s="278" t="n"/>
      <c r="O62" s="279" t="n"/>
      <c r="P62" s="276" t="n"/>
      <c r="Q62" s="274" t="n"/>
      <c r="R62" s="275" t="n"/>
      <c r="S62" s="276" t="n"/>
      <c r="T62" s="277" t="n"/>
      <c r="U62" s="278" t="n"/>
      <c r="V62" s="279" t="n"/>
      <c r="W62" s="276" t="n"/>
      <c r="X62" s="274" t="n"/>
      <c r="Y62" s="275" t="n"/>
      <c r="Z62" s="276" t="n"/>
      <c r="AA62" s="277" t="n"/>
      <c r="AB62" s="278" t="n"/>
      <c r="AC62" s="279" t="n"/>
      <c r="AD62" s="276" t="n"/>
      <c r="AE62" s="274" t="n"/>
      <c r="AF62" s="275" t="n"/>
      <c r="AG62" s="276" t="n"/>
      <c r="AH62" s="277" t="n"/>
      <c r="AI62" s="278" t="n"/>
      <c r="AJ62" s="279" t="n"/>
      <c r="AK62" s="276" t="n"/>
    </row>
    <row r="63" outlineLevel="1" ht="15.75" customHeight="1" s="180">
      <c r="A63" s="288" t="n"/>
      <c r="B63" s="171" t="n"/>
      <c r="C63" s="274" t="n"/>
      <c r="D63" s="275" t="n"/>
      <c r="E63" s="276" t="n"/>
      <c r="F63" s="277" t="n"/>
      <c r="G63" s="278" t="n"/>
      <c r="H63" s="279" t="n"/>
      <c r="I63" s="276" t="n"/>
      <c r="J63" s="274" t="n"/>
      <c r="K63" s="275" t="n"/>
      <c r="L63" s="276" t="n"/>
      <c r="M63" s="277" t="n"/>
      <c r="N63" s="278" t="n"/>
      <c r="O63" s="279" t="n"/>
      <c r="P63" s="276" t="n"/>
      <c r="Q63" s="274" t="n"/>
      <c r="R63" s="275" t="n"/>
      <c r="S63" s="276" t="n"/>
      <c r="T63" s="277" t="n"/>
      <c r="U63" s="278" t="n"/>
      <c r="V63" s="279" t="n"/>
      <c r="W63" s="276" t="n"/>
      <c r="X63" s="274" t="n"/>
      <c r="Y63" s="275" t="n"/>
      <c r="Z63" s="276" t="n"/>
      <c r="AA63" s="277" t="n"/>
      <c r="AB63" s="278" t="n"/>
      <c r="AC63" s="279" t="n"/>
      <c r="AD63" s="276" t="n"/>
      <c r="AE63" s="274" t="n"/>
      <c r="AF63" s="275" t="n"/>
      <c r="AG63" s="276" t="n"/>
      <c r="AH63" s="277" t="n"/>
      <c r="AI63" s="278" t="n"/>
      <c r="AJ63" s="279" t="n"/>
      <c r="AK63" s="276" t="n"/>
    </row>
    <row r="64" outlineLevel="1" ht="15.75" customHeight="1" s="180">
      <c r="A64" s="288" t="n"/>
      <c r="B64" s="171" t="n"/>
      <c r="C64" s="274" t="n"/>
      <c r="D64" s="275" t="n"/>
      <c r="E64" s="276" t="n"/>
      <c r="F64" s="277" t="n"/>
      <c r="G64" s="278" t="n"/>
      <c r="H64" s="279" t="n"/>
      <c r="I64" s="276" t="n"/>
      <c r="J64" s="274" t="n"/>
      <c r="K64" s="275" t="n"/>
      <c r="L64" s="276" t="n"/>
      <c r="M64" s="277" t="n"/>
      <c r="N64" s="278" t="n"/>
      <c r="O64" s="279" t="n"/>
      <c r="P64" s="276" t="n"/>
      <c r="Q64" s="274" t="n"/>
      <c r="R64" s="275" t="n"/>
      <c r="S64" s="276" t="n"/>
      <c r="T64" s="277" t="n"/>
      <c r="U64" s="278" t="n"/>
      <c r="V64" s="279" t="n"/>
      <c r="W64" s="276" t="n"/>
      <c r="X64" s="274" t="n"/>
      <c r="Y64" s="275" t="n"/>
      <c r="Z64" s="276" t="n"/>
      <c r="AA64" s="277" t="n"/>
      <c r="AB64" s="278" t="n"/>
      <c r="AC64" s="279" t="n"/>
      <c r="AD64" s="276" t="n"/>
      <c r="AE64" s="274" t="n"/>
      <c r="AF64" s="275" t="n"/>
      <c r="AG64" s="276" t="n"/>
      <c r="AH64" s="277" t="n"/>
      <c r="AI64" s="278" t="n"/>
      <c r="AJ64" s="279" t="n"/>
      <c r="AK64" s="276" t="n"/>
    </row>
    <row r="65" outlineLevel="1" ht="15.75" customHeight="1" s="180" thickBot="1">
      <c r="A65" s="289" t="n"/>
      <c r="B65" s="173" t="n"/>
      <c r="C65" s="280" t="n"/>
      <c r="D65" s="281" t="n"/>
      <c r="E65" s="282" t="n"/>
      <c r="F65" s="283" t="n"/>
      <c r="G65" s="284" t="n"/>
      <c r="H65" s="285" t="n"/>
      <c r="I65" s="282" t="n"/>
      <c r="J65" s="280" t="n"/>
      <c r="K65" s="281" t="n"/>
      <c r="L65" s="282" t="n"/>
      <c r="M65" s="283" t="n"/>
      <c r="N65" s="284" t="n"/>
      <c r="O65" s="285" t="n"/>
      <c r="P65" s="282" t="n"/>
      <c r="Q65" s="280" t="n"/>
      <c r="R65" s="281" t="n"/>
      <c r="S65" s="282" t="n"/>
      <c r="T65" s="283" t="n"/>
      <c r="U65" s="284" t="n"/>
      <c r="V65" s="285" t="n"/>
      <c r="W65" s="282" t="n"/>
      <c r="X65" s="280" t="n"/>
      <c r="Y65" s="281" t="n"/>
      <c r="Z65" s="282" t="n"/>
      <c r="AA65" s="283" t="n"/>
      <c r="AB65" s="284" t="n"/>
      <c r="AC65" s="285" t="n"/>
      <c r="AD65" s="282" t="n"/>
      <c r="AE65" s="280" t="n"/>
      <c r="AF65" s="281" t="n"/>
      <c r="AG65" s="282" t="n"/>
      <c r="AH65" s="283" t="n"/>
      <c r="AI65" s="284" t="n"/>
      <c r="AJ65" s="285" t="n"/>
      <c r="AK65" s="282" t="n"/>
    </row>
    <row r="66" collapsed="1" ht="19" customHeight="1" s="180" thickBot="1">
      <c r="A66" s="261" t="inlineStr">
        <is>
          <t>FIELD RESEARCH</t>
        </is>
      </c>
      <c r="B66" s="198" t="n"/>
      <c r="C66" s="262">
        <f>SUM(C67:C86)</f>
        <v/>
      </c>
      <c r="D66" s="267">
        <f>SUM(D67:D86)</f>
        <v/>
      </c>
      <c r="E66" s="264">
        <f>SUM(E67:E86)</f>
        <v/>
      </c>
      <c r="F66" s="286">
        <f>SUM(F67:F86)</f>
        <v/>
      </c>
      <c r="G66" s="266">
        <f>SUM(G67:G86)</f>
        <v/>
      </c>
      <c r="H66" s="267">
        <f>SUM(H67:H86)</f>
        <v/>
      </c>
      <c r="I66" s="264">
        <f>SUM(I67:I86)</f>
        <v/>
      </c>
      <c r="J66" s="262">
        <f>SUM(J67:J86)</f>
        <v/>
      </c>
      <c r="K66" s="267">
        <f>SUM(K67:K86)</f>
        <v/>
      </c>
      <c r="L66" s="264">
        <f>SUM(L67:L86)</f>
        <v/>
      </c>
      <c r="M66" s="286">
        <f>SUM(M67:M86)</f>
        <v/>
      </c>
      <c r="N66" s="266">
        <f>SUM(N67:N86)</f>
        <v/>
      </c>
      <c r="O66" s="267">
        <f>SUM(O67:O86)</f>
        <v/>
      </c>
      <c r="P66" s="264">
        <f>SUM(P67:P86)</f>
        <v/>
      </c>
      <c r="Q66" s="262">
        <f>SUM(Q67:Q86)</f>
        <v/>
      </c>
      <c r="R66" s="267">
        <f>SUM(R67:R86)</f>
        <v/>
      </c>
      <c r="S66" s="264">
        <f>SUM(S67:S86)</f>
        <v/>
      </c>
      <c r="T66" s="286">
        <f>SUM(T67:T86)</f>
        <v/>
      </c>
      <c r="U66" s="266">
        <f>SUM(U67:U86)</f>
        <v/>
      </c>
      <c r="V66" s="267">
        <f>SUM(V67:V86)</f>
        <v/>
      </c>
      <c r="W66" s="264">
        <f>SUM(W67:W86)</f>
        <v/>
      </c>
      <c r="X66" s="262">
        <f>SUM(X67:X86)</f>
        <v/>
      </c>
      <c r="Y66" s="267">
        <f>SUM(Y67:Y86)</f>
        <v/>
      </c>
      <c r="Z66" s="264">
        <f>SUM(Z67:Z86)</f>
        <v/>
      </c>
      <c r="AA66" s="286">
        <f>SUM(AA67:AA86)</f>
        <v/>
      </c>
      <c r="AB66" s="266">
        <f>SUM(AB67:AB86)</f>
        <v/>
      </c>
      <c r="AC66" s="267">
        <f>SUM(AC67:AC86)</f>
        <v/>
      </c>
      <c r="AD66" s="264">
        <f>SUM(AD67:AD86)</f>
        <v/>
      </c>
      <c r="AE66" s="262">
        <f>SUM(AE67:AE86)</f>
        <v/>
      </c>
      <c r="AF66" s="267">
        <f>SUM(AF67:AF86)</f>
        <v/>
      </c>
      <c r="AG66" s="264">
        <f>SUM(AG67:AG86)</f>
        <v/>
      </c>
      <c r="AH66" s="286">
        <f>SUM(AH67:AH86)</f>
        <v/>
      </c>
      <c r="AI66" s="266">
        <f>SUM(AI67:AI86)</f>
        <v/>
      </c>
      <c r="AJ66" s="267">
        <f>SUM(AJ67:AJ86)</f>
        <v/>
      </c>
      <c r="AK66" s="264">
        <f>SUM(AK67:AK86)</f>
        <v/>
      </c>
    </row>
    <row r="67" hidden="1" outlineLevel="1" ht="15.75" customHeight="1" s="180">
      <c r="A67" s="287" t="n"/>
      <c r="B67" s="179" t="n"/>
      <c r="C67" s="268" t="n"/>
      <c r="D67" s="269" t="n"/>
      <c r="E67" s="270" t="n"/>
      <c r="F67" s="271" t="n"/>
      <c r="G67" s="272" t="n"/>
      <c r="H67" s="273" t="n"/>
      <c r="I67" s="270" t="n"/>
      <c r="J67" s="268" t="n"/>
      <c r="K67" s="269" t="n"/>
      <c r="L67" s="270" t="n"/>
      <c r="M67" s="271" t="n"/>
      <c r="N67" s="272" t="n"/>
      <c r="O67" s="273" t="n"/>
      <c r="P67" s="270" t="n"/>
      <c r="Q67" s="268" t="n"/>
      <c r="R67" s="269" t="n"/>
      <c r="S67" s="270" t="n"/>
      <c r="T67" s="271" t="n"/>
      <c r="U67" s="272" t="n"/>
      <c r="V67" s="273" t="n"/>
      <c r="W67" s="270" t="n"/>
      <c r="X67" s="268" t="n"/>
      <c r="Y67" s="269" t="n"/>
      <c r="Z67" s="270" t="n"/>
      <c r="AA67" s="271" t="n"/>
      <c r="AB67" s="272" t="n"/>
      <c r="AC67" s="273" t="n"/>
      <c r="AD67" s="270" t="n"/>
      <c r="AE67" s="268" t="n"/>
      <c r="AF67" s="269" t="n"/>
      <c r="AG67" s="270" t="n"/>
      <c r="AH67" s="271" t="n"/>
      <c r="AI67" s="272" t="n"/>
      <c r="AJ67" s="273" t="n"/>
      <c r="AK67" s="270" t="n"/>
    </row>
    <row r="68" hidden="1" outlineLevel="1" ht="15.75" customHeight="1" s="180">
      <c r="A68" s="288" t="n"/>
      <c r="B68" s="171" t="n"/>
      <c r="C68" s="274" t="n"/>
      <c r="D68" s="275" t="n"/>
      <c r="E68" s="276" t="n"/>
      <c r="F68" s="277" t="n"/>
      <c r="G68" s="278" t="n"/>
      <c r="H68" s="279" t="n"/>
      <c r="I68" s="276" t="n"/>
      <c r="J68" s="274" t="n"/>
      <c r="K68" s="275" t="n"/>
      <c r="L68" s="276" t="n"/>
      <c r="M68" s="277" t="n"/>
      <c r="N68" s="278" t="n"/>
      <c r="O68" s="279" t="n"/>
      <c r="P68" s="276" t="n"/>
      <c r="Q68" s="274" t="n"/>
      <c r="R68" s="275" t="n"/>
      <c r="S68" s="276" t="n"/>
      <c r="T68" s="277" t="n"/>
      <c r="U68" s="278" t="n"/>
      <c r="V68" s="279" t="n"/>
      <c r="W68" s="276" t="n"/>
      <c r="X68" s="274" t="n"/>
      <c r="Y68" s="275" t="n"/>
      <c r="Z68" s="276" t="n"/>
      <c r="AA68" s="277" t="n"/>
      <c r="AB68" s="278" t="n"/>
      <c r="AC68" s="279" t="n"/>
      <c r="AD68" s="276" t="n"/>
      <c r="AE68" s="274" t="n"/>
      <c r="AF68" s="275" t="n"/>
      <c r="AG68" s="276" t="n"/>
      <c r="AH68" s="277" t="n"/>
      <c r="AI68" s="278" t="n"/>
      <c r="AJ68" s="279" t="n"/>
      <c r="AK68" s="276" t="n"/>
    </row>
    <row r="69" hidden="1" outlineLevel="1" ht="15.75" customHeight="1" s="180">
      <c r="A69" s="288" t="n"/>
      <c r="B69" s="171" t="n"/>
      <c r="C69" s="274" t="n"/>
      <c r="D69" s="275" t="n"/>
      <c r="E69" s="276" t="n"/>
      <c r="F69" s="277" t="n"/>
      <c r="G69" s="278" t="n"/>
      <c r="H69" s="279" t="n"/>
      <c r="I69" s="276" t="n"/>
      <c r="J69" s="274" t="n"/>
      <c r="K69" s="275" t="n"/>
      <c r="L69" s="276" t="n"/>
      <c r="M69" s="277" t="n"/>
      <c r="N69" s="278" t="n"/>
      <c r="O69" s="279" t="n"/>
      <c r="P69" s="276" t="n"/>
      <c r="Q69" s="274" t="n"/>
      <c r="R69" s="275" t="n"/>
      <c r="S69" s="276" t="n"/>
      <c r="T69" s="277" t="n"/>
      <c r="U69" s="278" t="n"/>
      <c r="V69" s="279" t="n"/>
      <c r="W69" s="276" t="n"/>
      <c r="X69" s="274" t="n"/>
      <c r="Y69" s="275" t="n"/>
      <c r="Z69" s="276" t="n"/>
      <c r="AA69" s="277" t="n"/>
      <c r="AB69" s="278" t="n"/>
      <c r="AC69" s="279" t="n"/>
      <c r="AD69" s="276" t="n"/>
      <c r="AE69" s="274" t="n"/>
      <c r="AF69" s="275" t="n"/>
      <c r="AG69" s="276" t="n"/>
      <c r="AH69" s="277" t="n"/>
      <c r="AI69" s="278" t="n"/>
      <c r="AJ69" s="279" t="n"/>
      <c r="AK69" s="276" t="n"/>
    </row>
    <row r="70" hidden="1" outlineLevel="1" ht="15.75" customHeight="1" s="180">
      <c r="A70" s="288" t="n"/>
      <c r="B70" s="171" t="n"/>
      <c r="C70" s="274" t="n"/>
      <c r="D70" s="275" t="n"/>
      <c r="E70" s="276" t="n"/>
      <c r="F70" s="277" t="n"/>
      <c r="G70" s="278" t="n"/>
      <c r="H70" s="279" t="n"/>
      <c r="I70" s="276" t="n"/>
      <c r="J70" s="274" t="n"/>
      <c r="K70" s="275" t="n"/>
      <c r="L70" s="276" t="n"/>
      <c r="M70" s="277" t="n"/>
      <c r="N70" s="278" t="n"/>
      <c r="O70" s="279" t="n"/>
      <c r="P70" s="276" t="n"/>
      <c r="Q70" s="274" t="n"/>
      <c r="R70" s="275" t="n"/>
      <c r="S70" s="276" t="n"/>
      <c r="T70" s="277" t="n"/>
      <c r="U70" s="278" t="n"/>
      <c r="V70" s="279" t="n"/>
      <c r="W70" s="276" t="n"/>
      <c r="X70" s="274" t="n"/>
      <c r="Y70" s="275" t="n"/>
      <c r="Z70" s="276" t="n"/>
      <c r="AA70" s="277" t="n"/>
      <c r="AB70" s="278" t="n"/>
      <c r="AC70" s="279" t="n"/>
      <c r="AD70" s="276" t="n"/>
      <c r="AE70" s="274" t="n"/>
      <c r="AF70" s="275" t="n"/>
      <c r="AG70" s="276" t="n"/>
      <c r="AH70" s="277" t="n"/>
      <c r="AI70" s="278" t="n"/>
      <c r="AJ70" s="279" t="n"/>
      <c r="AK70" s="276" t="n"/>
    </row>
    <row r="71" hidden="1" outlineLevel="1" ht="15.75" customHeight="1" s="180">
      <c r="A71" s="288" t="n"/>
      <c r="B71" s="171" t="n"/>
      <c r="C71" s="274" t="n"/>
      <c r="D71" s="275" t="n"/>
      <c r="E71" s="276" t="n"/>
      <c r="F71" s="277" t="n"/>
      <c r="G71" s="278" t="n"/>
      <c r="H71" s="279" t="n"/>
      <c r="I71" s="276" t="n"/>
      <c r="J71" s="274" t="n"/>
      <c r="K71" s="275" t="n"/>
      <c r="L71" s="276" t="n"/>
      <c r="M71" s="277" t="n"/>
      <c r="N71" s="278" t="n"/>
      <c r="O71" s="279" t="n"/>
      <c r="P71" s="276" t="n"/>
      <c r="Q71" s="274" t="n"/>
      <c r="R71" s="275" t="n"/>
      <c r="S71" s="276" t="n"/>
      <c r="T71" s="277" t="n"/>
      <c r="U71" s="278" t="n"/>
      <c r="V71" s="279" t="n"/>
      <c r="W71" s="276" t="n"/>
      <c r="X71" s="274" t="n"/>
      <c r="Y71" s="275" t="n"/>
      <c r="Z71" s="276" t="n"/>
      <c r="AA71" s="277" t="n"/>
      <c r="AB71" s="278" t="n"/>
      <c r="AC71" s="279" t="n"/>
      <c r="AD71" s="276" t="n"/>
      <c r="AE71" s="274" t="n"/>
      <c r="AF71" s="275" t="n"/>
      <c r="AG71" s="276" t="n"/>
      <c r="AH71" s="277" t="n"/>
      <c r="AI71" s="278" t="n"/>
      <c r="AJ71" s="279" t="n"/>
      <c r="AK71" s="276" t="n"/>
    </row>
    <row r="72" hidden="1" outlineLevel="1" ht="15.75" customHeight="1" s="180">
      <c r="A72" s="288" t="n"/>
      <c r="B72" s="171" t="n"/>
      <c r="C72" s="274" t="n"/>
      <c r="D72" s="275" t="n"/>
      <c r="E72" s="276" t="n"/>
      <c r="F72" s="277" t="n"/>
      <c r="G72" s="278" t="n"/>
      <c r="H72" s="279" t="n"/>
      <c r="I72" s="276" t="n"/>
      <c r="J72" s="274" t="n"/>
      <c r="K72" s="275" t="n"/>
      <c r="L72" s="276" t="n"/>
      <c r="M72" s="277" t="n"/>
      <c r="N72" s="278" t="n"/>
      <c r="O72" s="279" t="n"/>
      <c r="P72" s="276" t="n"/>
      <c r="Q72" s="274" t="n"/>
      <c r="R72" s="275" t="n"/>
      <c r="S72" s="276" t="n"/>
      <c r="T72" s="277" t="n"/>
      <c r="U72" s="278" t="n"/>
      <c r="V72" s="279" t="n"/>
      <c r="W72" s="276" t="n"/>
      <c r="X72" s="274" t="n"/>
      <c r="Y72" s="275" t="n"/>
      <c r="Z72" s="276" t="n"/>
      <c r="AA72" s="277" t="n"/>
      <c r="AB72" s="278" t="n"/>
      <c r="AC72" s="279" t="n"/>
      <c r="AD72" s="276" t="n"/>
      <c r="AE72" s="274" t="n"/>
      <c r="AF72" s="275" t="n"/>
      <c r="AG72" s="276" t="n"/>
      <c r="AH72" s="277" t="n"/>
      <c r="AI72" s="278" t="n"/>
      <c r="AJ72" s="279" t="n"/>
      <c r="AK72" s="276" t="n"/>
    </row>
    <row r="73" hidden="1" outlineLevel="1" ht="15.75" customHeight="1" s="180">
      <c r="A73" s="288" t="n"/>
      <c r="B73" s="171" t="n"/>
      <c r="C73" s="274" t="n"/>
      <c r="D73" s="275" t="n"/>
      <c r="E73" s="276" t="n"/>
      <c r="F73" s="277" t="n"/>
      <c r="G73" s="278" t="n"/>
      <c r="H73" s="279" t="n"/>
      <c r="I73" s="276" t="n"/>
      <c r="J73" s="274" t="n"/>
      <c r="K73" s="275" t="n"/>
      <c r="L73" s="276" t="n"/>
      <c r="M73" s="277" t="n"/>
      <c r="N73" s="278" t="n"/>
      <c r="O73" s="279" t="n"/>
      <c r="P73" s="276" t="n"/>
      <c r="Q73" s="274" t="n"/>
      <c r="R73" s="275" t="n"/>
      <c r="S73" s="276" t="n"/>
      <c r="T73" s="277" t="n"/>
      <c r="U73" s="278" t="n"/>
      <c r="V73" s="279" t="n"/>
      <c r="W73" s="276" t="n"/>
      <c r="X73" s="274" t="n"/>
      <c r="Y73" s="275" t="n"/>
      <c r="Z73" s="276" t="n"/>
      <c r="AA73" s="277" t="n"/>
      <c r="AB73" s="278" t="n"/>
      <c r="AC73" s="279" t="n"/>
      <c r="AD73" s="276" t="n"/>
      <c r="AE73" s="274" t="n"/>
      <c r="AF73" s="275" t="n"/>
      <c r="AG73" s="276" t="n"/>
      <c r="AH73" s="277" t="n"/>
      <c r="AI73" s="278" t="n"/>
      <c r="AJ73" s="279" t="n"/>
      <c r="AK73" s="276" t="n"/>
    </row>
    <row r="74" hidden="1" outlineLevel="1" ht="15.75" customHeight="1" s="180">
      <c r="A74" s="288" t="n"/>
      <c r="B74" s="171" t="n"/>
      <c r="C74" s="274" t="n"/>
      <c r="D74" s="275" t="n"/>
      <c r="E74" s="276" t="n"/>
      <c r="F74" s="277" t="n"/>
      <c r="G74" s="278" t="n"/>
      <c r="H74" s="279" t="n"/>
      <c r="I74" s="276" t="n"/>
      <c r="J74" s="274" t="n"/>
      <c r="K74" s="275" t="n"/>
      <c r="L74" s="276" t="n"/>
      <c r="M74" s="277" t="n"/>
      <c r="N74" s="278" t="n"/>
      <c r="O74" s="279" t="n"/>
      <c r="P74" s="276" t="n"/>
      <c r="Q74" s="274" t="n"/>
      <c r="R74" s="275" t="n"/>
      <c r="S74" s="276" t="n"/>
      <c r="T74" s="277" t="n"/>
      <c r="U74" s="278" t="n"/>
      <c r="V74" s="279" t="n"/>
      <c r="W74" s="276" t="n"/>
      <c r="X74" s="274" t="n"/>
      <c r="Y74" s="275" t="n"/>
      <c r="Z74" s="276" t="n"/>
      <c r="AA74" s="277" t="n"/>
      <c r="AB74" s="278" t="n"/>
      <c r="AC74" s="279" t="n"/>
      <c r="AD74" s="276" t="n"/>
      <c r="AE74" s="274" t="n"/>
      <c r="AF74" s="275" t="n"/>
      <c r="AG74" s="276" t="n"/>
      <c r="AH74" s="277" t="n"/>
      <c r="AI74" s="278" t="n"/>
      <c r="AJ74" s="279" t="n"/>
      <c r="AK74" s="276" t="n"/>
    </row>
    <row r="75" hidden="1" outlineLevel="1" ht="15.75" customHeight="1" s="180">
      <c r="A75" s="288" t="n"/>
      <c r="B75" s="171" t="n"/>
      <c r="C75" s="274" t="n"/>
      <c r="D75" s="275" t="n"/>
      <c r="E75" s="276" t="n"/>
      <c r="F75" s="277" t="n"/>
      <c r="G75" s="278" t="n"/>
      <c r="H75" s="279" t="n"/>
      <c r="I75" s="276" t="n"/>
      <c r="J75" s="274" t="n"/>
      <c r="K75" s="275" t="n"/>
      <c r="L75" s="276" t="n"/>
      <c r="M75" s="277" t="n"/>
      <c r="N75" s="278" t="n"/>
      <c r="O75" s="279" t="n"/>
      <c r="P75" s="276" t="n"/>
      <c r="Q75" s="274" t="n"/>
      <c r="R75" s="275" t="n"/>
      <c r="S75" s="276" t="n"/>
      <c r="T75" s="277" t="n"/>
      <c r="U75" s="278" t="n"/>
      <c r="V75" s="279" t="n"/>
      <c r="W75" s="276" t="n"/>
      <c r="X75" s="274" t="n"/>
      <c r="Y75" s="275" t="n"/>
      <c r="Z75" s="276" t="n"/>
      <c r="AA75" s="277" t="n"/>
      <c r="AB75" s="278" t="n"/>
      <c r="AC75" s="279" t="n"/>
      <c r="AD75" s="276" t="n"/>
      <c r="AE75" s="274" t="n"/>
      <c r="AF75" s="275" t="n"/>
      <c r="AG75" s="276" t="n"/>
      <c r="AH75" s="277" t="n"/>
      <c r="AI75" s="278" t="n"/>
      <c r="AJ75" s="279" t="n"/>
      <c r="AK75" s="276" t="n"/>
    </row>
    <row r="76" hidden="1" outlineLevel="1" ht="15.75" customHeight="1" s="180">
      <c r="A76" s="288" t="n"/>
      <c r="B76" s="171" t="n"/>
      <c r="C76" s="274" t="n"/>
      <c r="D76" s="275" t="n"/>
      <c r="E76" s="276" t="n"/>
      <c r="F76" s="277" t="n"/>
      <c r="G76" s="278" t="n"/>
      <c r="H76" s="279" t="n"/>
      <c r="I76" s="276" t="n"/>
      <c r="J76" s="274" t="n"/>
      <c r="K76" s="275" t="n"/>
      <c r="L76" s="276" t="n"/>
      <c r="M76" s="277" t="n"/>
      <c r="N76" s="278" t="n"/>
      <c r="O76" s="279" t="n"/>
      <c r="P76" s="276" t="n"/>
      <c r="Q76" s="274" t="n"/>
      <c r="R76" s="275" t="n"/>
      <c r="S76" s="276" t="n"/>
      <c r="T76" s="277" t="n"/>
      <c r="U76" s="278" t="n"/>
      <c r="V76" s="279" t="n"/>
      <c r="W76" s="276" t="n"/>
      <c r="X76" s="274" t="n"/>
      <c r="Y76" s="275" t="n"/>
      <c r="Z76" s="276" t="n"/>
      <c r="AA76" s="277" t="n"/>
      <c r="AB76" s="278" t="n"/>
      <c r="AC76" s="279" t="n"/>
      <c r="AD76" s="276" t="n"/>
      <c r="AE76" s="274" t="n"/>
      <c r="AF76" s="275" t="n"/>
      <c r="AG76" s="276" t="n"/>
      <c r="AH76" s="277" t="n"/>
      <c r="AI76" s="278" t="n"/>
      <c r="AJ76" s="279" t="n"/>
      <c r="AK76" s="276" t="n"/>
    </row>
    <row r="77" hidden="1" outlineLevel="1" ht="15.75" customHeight="1" s="180">
      <c r="A77" s="288" t="n"/>
      <c r="B77" s="171" t="n"/>
      <c r="C77" s="274" t="n"/>
      <c r="D77" s="275" t="n"/>
      <c r="E77" s="276" t="n"/>
      <c r="F77" s="277" t="n"/>
      <c r="G77" s="278" t="n"/>
      <c r="H77" s="279" t="n"/>
      <c r="I77" s="276" t="n"/>
      <c r="J77" s="274" t="n"/>
      <c r="K77" s="275" t="n"/>
      <c r="L77" s="276" t="n"/>
      <c r="M77" s="277" t="n"/>
      <c r="N77" s="278" t="n"/>
      <c r="O77" s="279" t="n"/>
      <c r="P77" s="276" t="n"/>
      <c r="Q77" s="274" t="n"/>
      <c r="R77" s="275" t="n"/>
      <c r="S77" s="276" t="n"/>
      <c r="T77" s="277" t="n"/>
      <c r="U77" s="278" t="n"/>
      <c r="V77" s="279" t="n"/>
      <c r="W77" s="276" t="n"/>
      <c r="X77" s="274" t="n"/>
      <c r="Y77" s="275" t="n"/>
      <c r="Z77" s="276" t="n"/>
      <c r="AA77" s="277" t="n"/>
      <c r="AB77" s="278" t="n"/>
      <c r="AC77" s="279" t="n"/>
      <c r="AD77" s="276" t="n"/>
      <c r="AE77" s="274" t="n"/>
      <c r="AF77" s="275" t="n"/>
      <c r="AG77" s="276" t="n"/>
      <c r="AH77" s="277" t="n"/>
      <c r="AI77" s="278" t="n"/>
      <c r="AJ77" s="279" t="n"/>
      <c r="AK77" s="276" t="n"/>
    </row>
    <row r="78" hidden="1" outlineLevel="1" ht="15.75" customHeight="1" s="180">
      <c r="A78" s="288" t="n"/>
      <c r="B78" s="171" t="n"/>
      <c r="C78" s="274" t="n"/>
      <c r="D78" s="275" t="n"/>
      <c r="E78" s="276" t="n"/>
      <c r="F78" s="277" t="n"/>
      <c r="G78" s="278" t="n"/>
      <c r="H78" s="279" t="n"/>
      <c r="I78" s="276" t="n"/>
      <c r="J78" s="274" t="n"/>
      <c r="K78" s="275" t="n"/>
      <c r="L78" s="276" t="n"/>
      <c r="M78" s="277" t="n"/>
      <c r="N78" s="278" t="n"/>
      <c r="O78" s="279" t="n"/>
      <c r="P78" s="276" t="n"/>
      <c r="Q78" s="274" t="n"/>
      <c r="R78" s="275" t="n"/>
      <c r="S78" s="276" t="n"/>
      <c r="T78" s="277" t="n"/>
      <c r="U78" s="278" t="n"/>
      <c r="V78" s="279" t="n"/>
      <c r="W78" s="276" t="n"/>
      <c r="X78" s="274" t="n"/>
      <c r="Y78" s="275" t="n"/>
      <c r="Z78" s="276" t="n"/>
      <c r="AA78" s="277" t="n"/>
      <c r="AB78" s="278" t="n"/>
      <c r="AC78" s="279" t="n"/>
      <c r="AD78" s="276" t="n"/>
      <c r="AE78" s="274" t="n"/>
      <c r="AF78" s="275" t="n"/>
      <c r="AG78" s="276" t="n"/>
      <c r="AH78" s="277" t="n"/>
      <c r="AI78" s="278" t="n"/>
      <c r="AJ78" s="279" t="n"/>
      <c r="AK78" s="276" t="n"/>
    </row>
    <row r="79" hidden="1" outlineLevel="1" ht="15.75" customHeight="1" s="180">
      <c r="A79" s="288" t="n"/>
      <c r="B79" s="171" t="n"/>
      <c r="C79" s="274" t="n"/>
      <c r="D79" s="275" t="n"/>
      <c r="E79" s="276" t="n"/>
      <c r="F79" s="277" t="n"/>
      <c r="G79" s="278" t="n"/>
      <c r="H79" s="279" t="n"/>
      <c r="I79" s="276" t="n"/>
      <c r="J79" s="274" t="n"/>
      <c r="K79" s="275" t="n"/>
      <c r="L79" s="276" t="n"/>
      <c r="M79" s="277" t="n"/>
      <c r="N79" s="278" t="n"/>
      <c r="O79" s="279" t="n"/>
      <c r="P79" s="276" t="n"/>
      <c r="Q79" s="274" t="n"/>
      <c r="R79" s="275" t="n"/>
      <c r="S79" s="276" t="n"/>
      <c r="T79" s="277" t="n"/>
      <c r="U79" s="278" t="n"/>
      <c r="V79" s="279" t="n"/>
      <c r="W79" s="276" t="n"/>
      <c r="X79" s="274" t="n"/>
      <c r="Y79" s="275" t="n"/>
      <c r="Z79" s="276" t="n"/>
      <c r="AA79" s="277" t="n"/>
      <c r="AB79" s="278" t="n"/>
      <c r="AC79" s="279" t="n"/>
      <c r="AD79" s="276" t="n"/>
      <c r="AE79" s="274" t="n"/>
      <c r="AF79" s="275" t="n"/>
      <c r="AG79" s="276" t="n"/>
      <c r="AH79" s="277" t="n"/>
      <c r="AI79" s="278" t="n"/>
      <c r="AJ79" s="279" t="n"/>
      <c r="AK79" s="276" t="n"/>
    </row>
    <row r="80" hidden="1" outlineLevel="1" ht="15.75" customHeight="1" s="180">
      <c r="A80" s="288" t="n"/>
      <c r="B80" s="171" t="n"/>
      <c r="C80" s="274" t="n"/>
      <c r="D80" s="275" t="n"/>
      <c r="E80" s="276" t="n"/>
      <c r="F80" s="277" t="n"/>
      <c r="G80" s="278" t="n"/>
      <c r="H80" s="279" t="n"/>
      <c r="I80" s="276" t="n"/>
      <c r="J80" s="274" t="n"/>
      <c r="K80" s="275" t="n"/>
      <c r="L80" s="276" t="n"/>
      <c r="M80" s="277" t="n"/>
      <c r="N80" s="278" t="n"/>
      <c r="O80" s="279" t="n"/>
      <c r="P80" s="276" t="n"/>
      <c r="Q80" s="274" t="n"/>
      <c r="R80" s="275" t="n"/>
      <c r="S80" s="276" t="n"/>
      <c r="T80" s="277" t="n"/>
      <c r="U80" s="278" t="n"/>
      <c r="V80" s="279" t="n"/>
      <c r="W80" s="276" t="n"/>
      <c r="X80" s="274" t="n"/>
      <c r="Y80" s="275" t="n"/>
      <c r="Z80" s="276" t="n"/>
      <c r="AA80" s="277" t="n"/>
      <c r="AB80" s="278" t="n"/>
      <c r="AC80" s="279" t="n"/>
      <c r="AD80" s="276" t="n"/>
      <c r="AE80" s="274" t="n"/>
      <c r="AF80" s="275" t="n"/>
      <c r="AG80" s="276" t="n"/>
      <c r="AH80" s="277" t="n"/>
      <c r="AI80" s="278" t="n"/>
      <c r="AJ80" s="279" t="n"/>
      <c r="AK80" s="276" t="n"/>
    </row>
    <row r="81" hidden="1" outlineLevel="1" ht="15.75" customHeight="1" s="180">
      <c r="A81" s="288" t="n"/>
      <c r="B81" s="171" t="n"/>
      <c r="C81" s="274" t="n"/>
      <c r="D81" s="275" t="n"/>
      <c r="E81" s="276" t="n"/>
      <c r="F81" s="277" t="n"/>
      <c r="G81" s="278" t="n"/>
      <c r="H81" s="279" t="n"/>
      <c r="I81" s="276" t="n"/>
      <c r="J81" s="274" t="n"/>
      <c r="K81" s="275" t="n"/>
      <c r="L81" s="276" t="n"/>
      <c r="M81" s="277" t="n"/>
      <c r="N81" s="278" t="n"/>
      <c r="O81" s="279" t="n"/>
      <c r="P81" s="276" t="n"/>
      <c r="Q81" s="274" t="n"/>
      <c r="R81" s="275" t="n"/>
      <c r="S81" s="276" t="n"/>
      <c r="T81" s="277" t="n"/>
      <c r="U81" s="278" t="n"/>
      <c r="V81" s="279" t="n"/>
      <c r="W81" s="276" t="n"/>
      <c r="X81" s="274" t="n"/>
      <c r="Y81" s="275" t="n"/>
      <c r="Z81" s="276" t="n"/>
      <c r="AA81" s="277" t="n"/>
      <c r="AB81" s="278" t="n"/>
      <c r="AC81" s="279" t="n"/>
      <c r="AD81" s="276" t="n"/>
      <c r="AE81" s="274" t="n"/>
      <c r="AF81" s="275" t="n"/>
      <c r="AG81" s="276" t="n"/>
      <c r="AH81" s="277" t="n"/>
      <c r="AI81" s="278" t="n"/>
      <c r="AJ81" s="279" t="n"/>
      <c r="AK81" s="276" t="n"/>
    </row>
    <row r="82" hidden="1" outlineLevel="1" ht="15.75" customHeight="1" s="180">
      <c r="A82" s="288" t="n"/>
      <c r="B82" s="171" t="n"/>
      <c r="C82" s="274" t="n"/>
      <c r="D82" s="275" t="n"/>
      <c r="E82" s="276" t="n"/>
      <c r="F82" s="277" t="n"/>
      <c r="G82" s="278" t="n"/>
      <c r="H82" s="279" t="n"/>
      <c r="I82" s="276" t="n"/>
      <c r="J82" s="274" t="n"/>
      <c r="K82" s="275" t="n"/>
      <c r="L82" s="276" t="n"/>
      <c r="M82" s="277" t="n"/>
      <c r="N82" s="278" t="n"/>
      <c r="O82" s="279" t="n"/>
      <c r="P82" s="276" t="n"/>
      <c r="Q82" s="274" t="n"/>
      <c r="R82" s="275" t="n"/>
      <c r="S82" s="276" t="n"/>
      <c r="T82" s="277" t="n"/>
      <c r="U82" s="278" t="n"/>
      <c r="V82" s="279" t="n"/>
      <c r="W82" s="276" t="n"/>
      <c r="X82" s="274" t="n"/>
      <c r="Y82" s="275" t="n"/>
      <c r="Z82" s="276" t="n"/>
      <c r="AA82" s="277" t="n"/>
      <c r="AB82" s="278" t="n"/>
      <c r="AC82" s="279" t="n"/>
      <c r="AD82" s="276" t="n"/>
      <c r="AE82" s="274" t="n"/>
      <c r="AF82" s="275" t="n"/>
      <c r="AG82" s="276" t="n"/>
      <c r="AH82" s="277" t="n"/>
      <c r="AI82" s="278" t="n"/>
      <c r="AJ82" s="279" t="n"/>
      <c r="AK82" s="276" t="n"/>
    </row>
    <row r="83" hidden="1" outlineLevel="1" ht="15.75" customHeight="1" s="180">
      <c r="A83" s="288" t="n"/>
      <c r="B83" s="171" t="n"/>
      <c r="C83" s="274" t="n"/>
      <c r="D83" s="275" t="n"/>
      <c r="E83" s="276" t="n"/>
      <c r="F83" s="277" t="n"/>
      <c r="G83" s="278" t="n"/>
      <c r="H83" s="279" t="n"/>
      <c r="I83" s="276" t="n"/>
      <c r="J83" s="274" t="n"/>
      <c r="K83" s="275" t="n"/>
      <c r="L83" s="276" t="n"/>
      <c r="M83" s="277" t="n"/>
      <c r="N83" s="278" t="n"/>
      <c r="O83" s="279" t="n"/>
      <c r="P83" s="276" t="n"/>
      <c r="Q83" s="274" t="n"/>
      <c r="R83" s="275" t="n"/>
      <c r="S83" s="276" t="n"/>
      <c r="T83" s="277" t="n"/>
      <c r="U83" s="278" t="n"/>
      <c r="V83" s="279" t="n"/>
      <c r="W83" s="276" t="n"/>
      <c r="X83" s="274" t="n"/>
      <c r="Y83" s="275" t="n"/>
      <c r="Z83" s="276" t="n"/>
      <c r="AA83" s="277" t="n"/>
      <c r="AB83" s="278" t="n"/>
      <c r="AC83" s="279" t="n"/>
      <c r="AD83" s="276" t="n"/>
      <c r="AE83" s="274" t="n"/>
      <c r="AF83" s="275" t="n"/>
      <c r="AG83" s="276" t="n"/>
      <c r="AH83" s="277" t="n"/>
      <c r="AI83" s="278" t="n"/>
      <c r="AJ83" s="279" t="n"/>
      <c r="AK83" s="276" t="n"/>
    </row>
    <row r="84" hidden="1" outlineLevel="1" ht="15.75" customHeight="1" s="180">
      <c r="A84" s="288" t="n"/>
      <c r="B84" s="171" t="n"/>
      <c r="C84" s="274" t="n"/>
      <c r="D84" s="275" t="n"/>
      <c r="E84" s="276" t="n"/>
      <c r="F84" s="277" t="n"/>
      <c r="G84" s="278" t="n"/>
      <c r="H84" s="279" t="n"/>
      <c r="I84" s="276" t="n"/>
      <c r="J84" s="274" t="n"/>
      <c r="K84" s="275" t="n"/>
      <c r="L84" s="276" t="n"/>
      <c r="M84" s="277" t="n"/>
      <c r="N84" s="278" t="n"/>
      <c r="O84" s="279" t="n"/>
      <c r="P84" s="276" t="n"/>
      <c r="Q84" s="274" t="n"/>
      <c r="R84" s="275" t="n"/>
      <c r="S84" s="276" t="n"/>
      <c r="T84" s="277" t="n"/>
      <c r="U84" s="278" t="n"/>
      <c r="V84" s="279" t="n"/>
      <c r="W84" s="276" t="n"/>
      <c r="X84" s="274" t="n"/>
      <c r="Y84" s="275" t="n"/>
      <c r="Z84" s="276" t="n"/>
      <c r="AA84" s="277" t="n"/>
      <c r="AB84" s="278" t="n"/>
      <c r="AC84" s="279" t="n"/>
      <c r="AD84" s="276" t="n"/>
      <c r="AE84" s="274" t="n"/>
      <c r="AF84" s="275" t="n"/>
      <c r="AG84" s="276" t="n"/>
      <c r="AH84" s="277" t="n"/>
      <c r="AI84" s="278" t="n"/>
      <c r="AJ84" s="279" t="n"/>
      <c r="AK84" s="276" t="n"/>
    </row>
    <row r="85" hidden="1" outlineLevel="1" ht="15.75" customHeight="1" s="180">
      <c r="A85" s="288" t="n"/>
      <c r="B85" s="171" t="n"/>
      <c r="C85" s="274" t="n"/>
      <c r="D85" s="275" t="n"/>
      <c r="E85" s="276" t="n"/>
      <c r="F85" s="277" t="n"/>
      <c r="G85" s="278" t="n"/>
      <c r="H85" s="279" t="n"/>
      <c r="I85" s="276" t="n"/>
      <c r="J85" s="274" t="n"/>
      <c r="K85" s="275" t="n"/>
      <c r="L85" s="276" t="n"/>
      <c r="M85" s="277" t="n"/>
      <c r="N85" s="278" t="n"/>
      <c r="O85" s="279" t="n"/>
      <c r="P85" s="276" t="n"/>
      <c r="Q85" s="274" t="n"/>
      <c r="R85" s="275" t="n"/>
      <c r="S85" s="276" t="n"/>
      <c r="T85" s="277" t="n"/>
      <c r="U85" s="278" t="n"/>
      <c r="V85" s="279" t="n"/>
      <c r="W85" s="276" t="n"/>
      <c r="X85" s="274" t="n"/>
      <c r="Y85" s="275" t="n"/>
      <c r="Z85" s="276" t="n"/>
      <c r="AA85" s="277" t="n"/>
      <c r="AB85" s="278" t="n"/>
      <c r="AC85" s="279" t="n"/>
      <c r="AD85" s="276" t="n"/>
      <c r="AE85" s="274" t="n"/>
      <c r="AF85" s="275" t="n"/>
      <c r="AG85" s="276" t="n"/>
      <c r="AH85" s="277" t="n"/>
      <c r="AI85" s="278" t="n"/>
      <c r="AJ85" s="279" t="n"/>
      <c r="AK85" s="276" t="n"/>
    </row>
    <row r="86" hidden="1" outlineLevel="1" ht="15.75" customHeight="1" s="180" thickBot="1">
      <c r="A86" s="289" t="n"/>
      <c r="B86" s="173" t="n"/>
      <c r="C86" s="280" t="n"/>
      <c r="D86" s="281" t="n"/>
      <c r="E86" s="282" t="n"/>
      <c r="F86" s="283" t="n"/>
      <c r="G86" s="284" t="n"/>
      <c r="H86" s="285" t="n"/>
      <c r="I86" s="282" t="n"/>
      <c r="J86" s="280" t="n"/>
      <c r="K86" s="281" t="n"/>
      <c r="L86" s="282" t="n"/>
      <c r="M86" s="283" t="n"/>
      <c r="N86" s="284" t="n"/>
      <c r="O86" s="285" t="n"/>
      <c r="P86" s="282" t="n"/>
      <c r="Q86" s="280" t="n"/>
      <c r="R86" s="281" t="n"/>
      <c r="S86" s="282" t="n"/>
      <c r="T86" s="283" t="n"/>
      <c r="U86" s="284" t="n"/>
      <c r="V86" s="285" t="n"/>
      <c r="W86" s="282" t="n"/>
      <c r="X86" s="280" t="n"/>
      <c r="Y86" s="281" t="n"/>
      <c r="Z86" s="282" t="n"/>
      <c r="AA86" s="283" t="n"/>
      <c r="AB86" s="284" t="n"/>
      <c r="AC86" s="285" t="n"/>
      <c r="AD86" s="282" t="n"/>
      <c r="AE86" s="280" t="n"/>
      <c r="AF86" s="281" t="n"/>
      <c r="AG86" s="282" t="n"/>
      <c r="AH86" s="283" t="n"/>
      <c r="AI86" s="284" t="n"/>
      <c r="AJ86" s="285" t="n"/>
      <c r="AK86" s="282" t="n"/>
    </row>
    <row r="87" ht="19" customHeight="1" s="180" thickBot="1">
      <c r="A87" s="261" t="inlineStr">
        <is>
          <t>EQUIPMENT</t>
        </is>
      </c>
      <c r="B87" s="198" t="n"/>
      <c r="C87" s="262">
        <f>SUM(C88:C107)</f>
        <v/>
      </c>
      <c r="D87" s="267">
        <f>SUM(D88:D107)</f>
        <v/>
      </c>
      <c r="E87" s="264">
        <f>SUM(E88:E107)</f>
        <v/>
      </c>
      <c r="F87" s="286">
        <f>SUM(F88:F107)</f>
        <v/>
      </c>
      <c r="G87" s="266">
        <f>SUM(G88:G107)</f>
        <v/>
      </c>
      <c r="H87" s="267">
        <f>SUM(H88:H107)</f>
        <v/>
      </c>
      <c r="I87" s="264">
        <f>SUM(I88:I107)</f>
        <v/>
      </c>
      <c r="J87" s="262">
        <f>SUM(J88:J107)</f>
        <v/>
      </c>
      <c r="K87" s="267">
        <f>SUM(K88:K107)</f>
        <v/>
      </c>
      <c r="L87" s="264">
        <f>SUM(L88:L107)</f>
        <v/>
      </c>
      <c r="M87" s="286">
        <f>SUM(M88:M107)</f>
        <v/>
      </c>
      <c r="N87" s="266">
        <f>SUM(N88:N107)</f>
        <v/>
      </c>
      <c r="O87" s="267">
        <f>SUM(O88:O107)</f>
        <v/>
      </c>
      <c r="P87" s="264">
        <f>SUM(P88:P107)</f>
        <v/>
      </c>
      <c r="Q87" s="262">
        <f>SUM(Q88:Q107)</f>
        <v/>
      </c>
      <c r="R87" s="267">
        <f>SUM(R88:R107)</f>
        <v/>
      </c>
      <c r="S87" s="264">
        <f>SUM(S88:S107)</f>
        <v/>
      </c>
      <c r="T87" s="286">
        <f>SUM(T88:T107)</f>
        <v/>
      </c>
      <c r="U87" s="266">
        <f>SUM(U88:U107)</f>
        <v/>
      </c>
      <c r="V87" s="267">
        <f>SUM(V88:V107)</f>
        <v/>
      </c>
      <c r="W87" s="264">
        <f>SUM(W88:W107)</f>
        <v/>
      </c>
      <c r="X87" s="262">
        <f>SUM(X88:X107)</f>
        <v/>
      </c>
      <c r="Y87" s="267">
        <f>SUM(Y88:Y107)</f>
        <v/>
      </c>
      <c r="Z87" s="264">
        <f>SUM(Z88:Z107)</f>
        <v/>
      </c>
      <c r="AA87" s="286">
        <f>SUM(AA88:AA107)</f>
        <v/>
      </c>
      <c r="AB87" s="266">
        <f>SUM(AB88:AB107)</f>
        <v/>
      </c>
      <c r="AC87" s="267">
        <f>SUM(AC88:AC107)</f>
        <v/>
      </c>
      <c r="AD87" s="264">
        <f>SUM(AD88:AD107)</f>
        <v/>
      </c>
      <c r="AE87" s="262">
        <f>SUM(AE88:AE107)</f>
        <v/>
      </c>
      <c r="AF87" s="267">
        <f>SUM(AF88:AF107)</f>
        <v/>
      </c>
      <c r="AG87" s="264">
        <f>SUM(AG88:AG107)</f>
        <v/>
      </c>
      <c r="AH87" s="286">
        <f>SUM(AH88:AH107)</f>
        <v/>
      </c>
      <c r="AI87" s="266">
        <f>SUM(AI88:AI107)</f>
        <v/>
      </c>
      <c r="AJ87" s="267">
        <f>SUM(AJ88:AJ107)</f>
        <v/>
      </c>
      <c r="AK87" s="264">
        <f>SUM(AK88:AK107)</f>
        <v/>
      </c>
    </row>
    <row r="88" outlineLevel="1" ht="15.75" customHeight="1" s="180">
      <c r="A88" s="287" t="n"/>
      <c r="B88" s="179" t="n"/>
      <c r="C88" s="268" t="n"/>
      <c r="D88" s="269" t="n"/>
      <c r="E88" s="270" t="n"/>
      <c r="F88" s="271" t="n"/>
      <c r="G88" s="272" t="n"/>
      <c r="H88" s="273" t="n"/>
      <c r="I88" s="270" t="n"/>
      <c r="J88" s="268" t="n"/>
      <c r="K88" s="269" t="n"/>
      <c r="L88" s="270" t="n"/>
      <c r="M88" s="271" t="n"/>
      <c r="N88" s="272" t="n"/>
      <c r="O88" s="273" t="n"/>
      <c r="P88" s="270" t="n"/>
      <c r="Q88" s="268" t="n"/>
      <c r="R88" s="269" t="n"/>
      <c r="S88" s="270" t="n"/>
      <c r="T88" s="271" t="n"/>
      <c r="U88" s="272" t="n"/>
      <c r="V88" s="273" t="n"/>
      <c r="W88" s="270" t="n"/>
      <c r="X88" s="268" t="n"/>
      <c r="Y88" s="269" t="n"/>
      <c r="Z88" s="270" t="n"/>
      <c r="AA88" s="271" t="n"/>
      <c r="AB88" s="272" t="n"/>
      <c r="AC88" s="273" t="n"/>
      <c r="AD88" s="270" t="n"/>
      <c r="AE88" s="268" t="n"/>
      <c r="AF88" s="269" t="n"/>
      <c r="AG88" s="270" t="n"/>
      <c r="AH88" s="271" t="n"/>
      <c r="AI88" s="272" t="n"/>
      <c r="AJ88" s="273" t="n"/>
      <c r="AK88" s="270" t="n"/>
    </row>
    <row r="89" outlineLevel="1" ht="15.75" customHeight="1" s="180">
      <c r="A89" s="288" t="n"/>
      <c r="B89" s="171" t="n"/>
      <c r="C89" s="274" t="n"/>
      <c r="D89" s="275" t="n"/>
      <c r="E89" s="276" t="n"/>
      <c r="F89" s="277" t="n"/>
      <c r="G89" s="278" t="n"/>
      <c r="H89" s="279" t="n"/>
      <c r="I89" s="276" t="n"/>
      <c r="J89" s="274" t="n"/>
      <c r="K89" s="275" t="n"/>
      <c r="L89" s="276" t="n"/>
      <c r="M89" s="277" t="n"/>
      <c r="N89" s="278" t="n"/>
      <c r="O89" s="279" t="n"/>
      <c r="P89" s="276" t="n"/>
      <c r="Q89" s="274" t="n"/>
      <c r="R89" s="275" t="n"/>
      <c r="S89" s="276" t="n"/>
      <c r="T89" s="277" t="n"/>
      <c r="U89" s="278" t="n"/>
      <c r="V89" s="279" t="n"/>
      <c r="W89" s="276" t="n"/>
      <c r="X89" s="274" t="n"/>
      <c r="Y89" s="275" t="n"/>
      <c r="Z89" s="276" t="n"/>
      <c r="AA89" s="277" t="n"/>
      <c r="AB89" s="278" t="n"/>
      <c r="AC89" s="279" t="n"/>
      <c r="AD89" s="276" t="n"/>
      <c r="AE89" s="274" t="n"/>
      <c r="AF89" s="275" t="n"/>
      <c r="AG89" s="276" t="n"/>
      <c r="AH89" s="277" t="n"/>
      <c r="AI89" s="278" t="n"/>
      <c r="AJ89" s="279" t="n"/>
      <c r="AK89" s="276" t="n"/>
    </row>
    <row r="90" outlineLevel="1" ht="15.75" customHeight="1" s="180">
      <c r="A90" s="288" t="n"/>
      <c r="B90" s="171" t="n"/>
      <c r="C90" s="274" t="n"/>
      <c r="D90" s="275" t="n"/>
      <c r="E90" s="276" t="n"/>
      <c r="F90" s="277" t="n"/>
      <c r="G90" s="278" t="n"/>
      <c r="H90" s="279" t="n"/>
      <c r="I90" s="276" t="n"/>
      <c r="J90" s="274" t="n"/>
      <c r="K90" s="275" t="n"/>
      <c r="L90" s="276" t="n"/>
      <c r="M90" s="277" t="n"/>
      <c r="N90" s="278" t="n"/>
      <c r="O90" s="279" t="n"/>
      <c r="P90" s="276" t="n"/>
      <c r="Q90" s="274" t="n"/>
      <c r="R90" s="275" t="n"/>
      <c r="S90" s="276" t="n"/>
      <c r="T90" s="277" t="n"/>
      <c r="U90" s="278" t="n"/>
      <c r="V90" s="279" t="n"/>
      <c r="W90" s="276" t="n"/>
      <c r="X90" s="274" t="n"/>
      <c r="Y90" s="275" t="n"/>
      <c r="Z90" s="276" t="n"/>
      <c r="AA90" s="277" t="n"/>
      <c r="AB90" s="278" t="n"/>
      <c r="AC90" s="279" t="n"/>
      <c r="AD90" s="276" t="n"/>
      <c r="AE90" s="274" t="n"/>
      <c r="AF90" s="275" t="n"/>
      <c r="AG90" s="276" t="n"/>
      <c r="AH90" s="277" t="n"/>
      <c r="AI90" s="278" t="n"/>
      <c r="AJ90" s="279" t="n"/>
      <c r="AK90" s="276" t="n"/>
    </row>
    <row r="91" outlineLevel="1" ht="15.75" customHeight="1" s="180">
      <c r="A91" s="288" t="n"/>
      <c r="B91" s="171" t="n"/>
      <c r="C91" s="274" t="n"/>
      <c r="D91" s="275" t="n"/>
      <c r="E91" s="276" t="n"/>
      <c r="F91" s="277" t="n"/>
      <c r="G91" s="278" t="n"/>
      <c r="H91" s="279" t="n"/>
      <c r="I91" s="276" t="n"/>
      <c r="J91" s="274" t="n"/>
      <c r="K91" s="275" t="n"/>
      <c r="L91" s="276" t="n"/>
      <c r="M91" s="277" t="n"/>
      <c r="N91" s="278" t="n"/>
      <c r="O91" s="279" t="n"/>
      <c r="P91" s="276" t="n"/>
      <c r="Q91" s="274" t="n"/>
      <c r="R91" s="275" t="n"/>
      <c r="S91" s="276" t="n"/>
      <c r="T91" s="277" t="n"/>
      <c r="U91" s="278" t="n"/>
      <c r="V91" s="279" t="n"/>
      <c r="W91" s="276" t="n"/>
      <c r="X91" s="274" t="n"/>
      <c r="Y91" s="275" t="n"/>
      <c r="Z91" s="276" t="n"/>
      <c r="AA91" s="277" t="n"/>
      <c r="AB91" s="278" t="n"/>
      <c r="AC91" s="279" t="n"/>
      <c r="AD91" s="276" t="n"/>
      <c r="AE91" s="274" t="n"/>
      <c r="AF91" s="275" t="n"/>
      <c r="AG91" s="276" t="n"/>
      <c r="AH91" s="277" t="n"/>
      <c r="AI91" s="278" t="n"/>
      <c r="AJ91" s="279" t="n"/>
      <c r="AK91" s="276" t="n"/>
    </row>
    <row r="92" outlineLevel="1" ht="15.75" customHeight="1" s="180">
      <c r="A92" s="288" t="n"/>
      <c r="B92" s="171" t="n"/>
      <c r="C92" s="274" t="n"/>
      <c r="D92" s="275" t="n"/>
      <c r="E92" s="276" t="n"/>
      <c r="F92" s="277" t="n"/>
      <c r="G92" s="278" t="n"/>
      <c r="H92" s="279" t="n"/>
      <c r="I92" s="276" t="n"/>
      <c r="J92" s="274" t="n"/>
      <c r="K92" s="275" t="n"/>
      <c r="L92" s="276" t="n"/>
      <c r="M92" s="277" t="n"/>
      <c r="N92" s="278" t="n"/>
      <c r="O92" s="279" t="n"/>
      <c r="P92" s="276" t="n"/>
      <c r="Q92" s="274" t="n"/>
      <c r="R92" s="275" t="n"/>
      <c r="S92" s="276" t="n"/>
      <c r="T92" s="277" t="n"/>
      <c r="U92" s="278" t="n"/>
      <c r="V92" s="279" t="n"/>
      <c r="W92" s="276" t="n"/>
      <c r="X92" s="274" t="n"/>
      <c r="Y92" s="275" t="n"/>
      <c r="Z92" s="276" t="n"/>
      <c r="AA92" s="277" t="n"/>
      <c r="AB92" s="278" t="n"/>
      <c r="AC92" s="279" t="n"/>
      <c r="AD92" s="276" t="n"/>
      <c r="AE92" s="274" t="n"/>
      <c r="AF92" s="275" t="n"/>
      <c r="AG92" s="276" t="n"/>
      <c r="AH92" s="277" t="n"/>
      <c r="AI92" s="278" t="n"/>
      <c r="AJ92" s="279" t="n"/>
      <c r="AK92" s="276" t="n"/>
    </row>
    <row r="93" outlineLevel="1" ht="15.75" customHeight="1" s="180">
      <c r="A93" s="288" t="n"/>
      <c r="B93" s="171" t="n"/>
      <c r="C93" s="274" t="n"/>
      <c r="D93" s="275" t="n"/>
      <c r="E93" s="276" t="n"/>
      <c r="F93" s="277" t="n"/>
      <c r="G93" s="278" t="n"/>
      <c r="H93" s="279" t="n"/>
      <c r="I93" s="276" t="n"/>
      <c r="J93" s="274" t="n"/>
      <c r="K93" s="275" t="n"/>
      <c r="L93" s="276" t="n"/>
      <c r="M93" s="277" t="n"/>
      <c r="N93" s="278" t="n"/>
      <c r="O93" s="279" t="n"/>
      <c r="P93" s="276" t="n"/>
      <c r="Q93" s="274" t="n"/>
      <c r="R93" s="275" t="n"/>
      <c r="S93" s="276" t="n"/>
      <c r="T93" s="277" t="n"/>
      <c r="U93" s="278" t="n"/>
      <c r="V93" s="279" t="n"/>
      <c r="W93" s="276" t="n"/>
      <c r="X93" s="274" t="n"/>
      <c r="Y93" s="275" t="n"/>
      <c r="Z93" s="276" t="n"/>
      <c r="AA93" s="277" t="n"/>
      <c r="AB93" s="278" t="n"/>
      <c r="AC93" s="279" t="n"/>
      <c r="AD93" s="276" t="n"/>
      <c r="AE93" s="274" t="n"/>
      <c r="AF93" s="275" t="n"/>
      <c r="AG93" s="276" t="n"/>
      <c r="AH93" s="277" t="n"/>
      <c r="AI93" s="278" t="n"/>
      <c r="AJ93" s="279" t="n"/>
      <c r="AK93" s="276" t="n"/>
    </row>
    <row r="94" outlineLevel="1" ht="15.75" customHeight="1" s="180">
      <c r="A94" s="288" t="n"/>
      <c r="B94" s="171" t="n"/>
      <c r="C94" s="274" t="n"/>
      <c r="D94" s="275" t="n"/>
      <c r="E94" s="276" t="n"/>
      <c r="F94" s="277" t="n"/>
      <c r="G94" s="278" t="n"/>
      <c r="H94" s="279" t="n"/>
      <c r="I94" s="276" t="n"/>
      <c r="J94" s="274" t="n"/>
      <c r="K94" s="275" t="n"/>
      <c r="L94" s="276" t="n"/>
      <c r="M94" s="277" t="n"/>
      <c r="N94" s="278" t="n"/>
      <c r="O94" s="279" t="n"/>
      <c r="P94" s="276" t="n"/>
      <c r="Q94" s="274" t="n"/>
      <c r="R94" s="275" t="n"/>
      <c r="S94" s="276" t="n"/>
      <c r="T94" s="277" t="n"/>
      <c r="U94" s="278" t="n"/>
      <c r="V94" s="279" t="n"/>
      <c r="W94" s="276" t="n"/>
      <c r="X94" s="274" t="n"/>
      <c r="Y94" s="275" t="n"/>
      <c r="Z94" s="276" t="n"/>
      <c r="AA94" s="277" t="n"/>
      <c r="AB94" s="278" t="n"/>
      <c r="AC94" s="279" t="n"/>
      <c r="AD94" s="276" t="n"/>
      <c r="AE94" s="274" t="n"/>
      <c r="AF94" s="275" t="n"/>
      <c r="AG94" s="276" t="n"/>
      <c r="AH94" s="277" t="n"/>
      <c r="AI94" s="278" t="n"/>
      <c r="AJ94" s="279" t="n"/>
      <c r="AK94" s="276" t="n"/>
    </row>
    <row r="95" outlineLevel="1" ht="15.75" customHeight="1" s="180">
      <c r="A95" s="288" t="n"/>
      <c r="B95" s="171" t="n"/>
      <c r="C95" s="274" t="n"/>
      <c r="D95" s="275" t="n"/>
      <c r="E95" s="276" t="n"/>
      <c r="F95" s="277" t="n"/>
      <c r="G95" s="278" t="n"/>
      <c r="H95" s="279" t="n"/>
      <c r="I95" s="276" t="n"/>
      <c r="J95" s="274" t="n"/>
      <c r="K95" s="275" t="n"/>
      <c r="L95" s="276" t="n"/>
      <c r="M95" s="277" t="n"/>
      <c r="N95" s="278" t="n"/>
      <c r="O95" s="279" t="n"/>
      <c r="P95" s="276" t="n"/>
      <c r="Q95" s="274" t="n"/>
      <c r="R95" s="275" t="n"/>
      <c r="S95" s="276" t="n"/>
      <c r="T95" s="277" t="n"/>
      <c r="U95" s="278" t="n"/>
      <c r="V95" s="279" t="n"/>
      <c r="W95" s="276" t="n"/>
      <c r="X95" s="274" t="n"/>
      <c r="Y95" s="275" t="n"/>
      <c r="Z95" s="276" t="n"/>
      <c r="AA95" s="277" t="n"/>
      <c r="AB95" s="278" t="n"/>
      <c r="AC95" s="279" t="n"/>
      <c r="AD95" s="276" t="n"/>
      <c r="AE95" s="274" t="n"/>
      <c r="AF95" s="275" t="n"/>
      <c r="AG95" s="276" t="n"/>
      <c r="AH95" s="277" t="n"/>
      <c r="AI95" s="278" t="n"/>
      <c r="AJ95" s="279" t="n"/>
      <c r="AK95" s="276" t="n"/>
    </row>
    <row r="96" outlineLevel="1" ht="15.75" customHeight="1" s="180">
      <c r="A96" s="288" t="n"/>
      <c r="B96" s="171" t="n"/>
      <c r="C96" s="274" t="n"/>
      <c r="D96" s="275" t="n"/>
      <c r="E96" s="276" t="n"/>
      <c r="F96" s="277" t="n"/>
      <c r="G96" s="278" t="n"/>
      <c r="H96" s="279" t="n"/>
      <c r="I96" s="276" t="n"/>
      <c r="J96" s="274" t="n"/>
      <c r="K96" s="275" t="n"/>
      <c r="L96" s="276" t="n"/>
      <c r="M96" s="277" t="n"/>
      <c r="N96" s="278" t="n"/>
      <c r="O96" s="279" t="n"/>
      <c r="P96" s="276" t="n"/>
      <c r="Q96" s="274" t="n"/>
      <c r="R96" s="275" t="n"/>
      <c r="S96" s="276" t="n"/>
      <c r="T96" s="277" t="n"/>
      <c r="U96" s="278" t="n"/>
      <c r="V96" s="279" t="n"/>
      <c r="W96" s="276" t="n"/>
      <c r="X96" s="274" t="n"/>
      <c r="Y96" s="275" t="n"/>
      <c r="Z96" s="276" t="n"/>
      <c r="AA96" s="277" t="n"/>
      <c r="AB96" s="278" t="n"/>
      <c r="AC96" s="279" t="n"/>
      <c r="AD96" s="276" t="n"/>
      <c r="AE96" s="274" t="n"/>
      <c r="AF96" s="275" t="n"/>
      <c r="AG96" s="276" t="n"/>
      <c r="AH96" s="277" t="n"/>
      <c r="AI96" s="278" t="n"/>
      <c r="AJ96" s="279" t="n"/>
      <c r="AK96" s="276" t="n"/>
    </row>
    <row r="97" outlineLevel="1" ht="15.75" customHeight="1" s="180">
      <c r="A97" s="288" t="n"/>
      <c r="B97" s="171" t="n"/>
      <c r="C97" s="274" t="n"/>
      <c r="D97" s="275" t="n"/>
      <c r="E97" s="276" t="n"/>
      <c r="F97" s="277" t="n"/>
      <c r="G97" s="278" t="n"/>
      <c r="H97" s="279" t="n"/>
      <c r="I97" s="276" t="n"/>
      <c r="J97" s="274" t="n"/>
      <c r="K97" s="275" t="n"/>
      <c r="L97" s="276" t="n"/>
      <c r="M97" s="277" t="n"/>
      <c r="N97" s="278" t="n"/>
      <c r="O97" s="279" t="n"/>
      <c r="P97" s="276" t="n"/>
      <c r="Q97" s="274" t="n"/>
      <c r="R97" s="275" t="n"/>
      <c r="S97" s="276" t="n"/>
      <c r="T97" s="277" t="n"/>
      <c r="U97" s="278" t="n"/>
      <c r="V97" s="279" t="n"/>
      <c r="W97" s="276" t="n"/>
      <c r="X97" s="274" t="n"/>
      <c r="Y97" s="275" t="n"/>
      <c r="Z97" s="276" t="n"/>
      <c r="AA97" s="277" t="n"/>
      <c r="AB97" s="278" t="n"/>
      <c r="AC97" s="279" t="n"/>
      <c r="AD97" s="276" t="n"/>
      <c r="AE97" s="274" t="n"/>
      <c r="AF97" s="275" t="n"/>
      <c r="AG97" s="276" t="n"/>
      <c r="AH97" s="277" t="n"/>
      <c r="AI97" s="278" t="n"/>
      <c r="AJ97" s="279" t="n"/>
      <c r="AK97" s="276" t="n"/>
    </row>
    <row r="98" outlineLevel="1" ht="15.75" customHeight="1" s="180">
      <c r="A98" s="288" t="n"/>
      <c r="B98" s="171" t="n"/>
      <c r="C98" s="274" t="n"/>
      <c r="D98" s="275" t="n"/>
      <c r="E98" s="276" t="n"/>
      <c r="F98" s="277" t="n"/>
      <c r="G98" s="278" t="n"/>
      <c r="H98" s="279" t="n"/>
      <c r="I98" s="276" t="n"/>
      <c r="J98" s="274" t="n"/>
      <c r="K98" s="275" t="n"/>
      <c r="L98" s="276" t="n"/>
      <c r="M98" s="277" t="n"/>
      <c r="N98" s="278" t="n"/>
      <c r="O98" s="279" t="n"/>
      <c r="P98" s="276" t="n"/>
      <c r="Q98" s="274" t="n"/>
      <c r="R98" s="275" t="n"/>
      <c r="S98" s="276" t="n"/>
      <c r="T98" s="277" t="n"/>
      <c r="U98" s="278" t="n"/>
      <c r="V98" s="279" t="n"/>
      <c r="W98" s="276" t="n"/>
      <c r="X98" s="274" t="n"/>
      <c r="Y98" s="275" t="n"/>
      <c r="Z98" s="276" t="n"/>
      <c r="AA98" s="277" t="n"/>
      <c r="AB98" s="278" t="n"/>
      <c r="AC98" s="279" t="n"/>
      <c r="AD98" s="276" t="n"/>
      <c r="AE98" s="274" t="n"/>
      <c r="AF98" s="275" t="n"/>
      <c r="AG98" s="276" t="n"/>
      <c r="AH98" s="277" t="n"/>
      <c r="AI98" s="278" t="n"/>
      <c r="AJ98" s="279" t="n"/>
      <c r="AK98" s="276" t="n"/>
    </row>
    <row r="99" outlineLevel="1" ht="15.75" customHeight="1" s="180">
      <c r="A99" s="288" t="n"/>
      <c r="B99" s="171" t="n"/>
      <c r="C99" s="274" t="n"/>
      <c r="D99" s="275" t="n"/>
      <c r="E99" s="276" t="n"/>
      <c r="F99" s="277" t="n"/>
      <c r="G99" s="278" t="n"/>
      <c r="H99" s="279" t="n"/>
      <c r="I99" s="276" t="n"/>
      <c r="J99" s="274" t="n"/>
      <c r="K99" s="275" t="n"/>
      <c r="L99" s="276" t="n"/>
      <c r="M99" s="277" t="n"/>
      <c r="N99" s="278" t="n"/>
      <c r="O99" s="279" t="n"/>
      <c r="P99" s="276" t="n"/>
      <c r="Q99" s="274" t="n"/>
      <c r="R99" s="275" t="n"/>
      <c r="S99" s="276" t="n"/>
      <c r="T99" s="277" t="n"/>
      <c r="U99" s="278" t="n"/>
      <c r="V99" s="279" t="n"/>
      <c r="W99" s="276" t="n"/>
      <c r="X99" s="274" t="n"/>
      <c r="Y99" s="275" t="n"/>
      <c r="Z99" s="276" t="n"/>
      <c r="AA99" s="277" t="n"/>
      <c r="AB99" s="278" t="n"/>
      <c r="AC99" s="279" t="n"/>
      <c r="AD99" s="276" t="n"/>
      <c r="AE99" s="274" t="n"/>
      <c r="AF99" s="275" t="n"/>
      <c r="AG99" s="276" t="n"/>
      <c r="AH99" s="277" t="n"/>
      <c r="AI99" s="278" t="n"/>
      <c r="AJ99" s="279" t="n"/>
      <c r="AK99" s="276" t="n"/>
    </row>
    <row r="100" outlineLevel="1" ht="15.75" customHeight="1" s="180">
      <c r="A100" s="288" t="n"/>
      <c r="B100" s="171" t="n"/>
      <c r="C100" s="274" t="n"/>
      <c r="D100" s="275" t="n"/>
      <c r="E100" s="276" t="n"/>
      <c r="F100" s="277" t="n"/>
      <c r="G100" s="278" t="n"/>
      <c r="H100" s="279" t="n"/>
      <c r="I100" s="276" t="n"/>
      <c r="J100" s="274" t="n"/>
      <c r="K100" s="275" t="n"/>
      <c r="L100" s="276" t="n"/>
      <c r="M100" s="277" t="n"/>
      <c r="N100" s="278" t="n"/>
      <c r="O100" s="279" t="n"/>
      <c r="P100" s="276" t="n"/>
      <c r="Q100" s="274" t="n"/>
      <c r="R100" s="275" t="n"/>
      <c r="S100" s="276" t="n"/>
      <c r="T100" s="277" t="n"/>
      <c r="U100" s="278" t="n"/>
      <c r="V100" s="279" t="n"/>
      <c r="W100" s="276" t="n"/>
      <c r="X100" s="274" t="n"/>
      <c r="Y100" s="275" t="n"/>
      <c r="Z100" s="276" t="n"/>
      <c r="AA100" s="277" t="n"/>
      <c r="AB100" s="278" t="n"/>
      <c r="AC100" s="279" t="n"/>
      <c r="AD100" s="276" t="n"/>
      <c r="AE100" s="274" t="n"/>
      <c r="AF100" s="275" t="n"/>
      <c r="AG100" s="276" t="n"/>
      <c r="AH100" s="277" t="n"/>
      <c r="AI100" s="278" t="n"/>
      <c r="AJ100" s="279" t="n"/>
      <c r="AK100" s="276" t="n"/>
    </row>
    <row r="101" outlineLevel="1" ht="15.75" customHeight="1" s="180">
      <c r="A101" s="288" t="n"/>
      <c r="B101" s="171" t="n"/>
      <c r="C101" s="274" t="n"/>
      <c r="D101" s="275" t="n"/>
      <c r="E101" s="276" t="n"/>
      <c r="F101" s="277" t="n"/>
      <c r="G101" s="278" t="n"/>
      <c r="H101" s="279" t="n"/>
      <c r="I101" s="276" t="n"/>
      <c r="J101" s="274" t="n"/>
      <c r="K101" s="275" t="n"/>
      <c r="L101" s="276" t="n"/>
      <c r="M101" s="277" t="n"/>
      <c r="N101" s="278" t="n"/>
      <c r="O101" s="279" t="n"/>
      <c r="P101" s="276" t="n"/>
      <c r="Q101" s="274" t="n"/>
      <c r="R101" s="275" t="n"/>
      <c r="S101" s="276" t="n"/>
      <c r="T101" s="277" t="n"/>
      <c r="U101" s="278" t="n"/>
      <c r="V101" s="279" t="n"/>
      <c r="W101" s="276" t="n"/>
      <c r="X101" s="274" t="n"/>
      <c r="Y101" s="275" t="n"/>
      <c r="Z101" s="276" t="n"/>
      <c r="AA101" s="277" t="n"/>
      <c r="AB101" s="278" t="n"/>
      <c r="AC101" s="279" t="n"/>
      <c r="AD101" s="276" t="n"/>
      <c r="AE101" s="274" t="n"/>
      <c r="AF101" s="275" t="n"/>
      <c r="AG101" s="276" t="n"/>
      <c r="AH101" s="277" t="n"/>
      <c r="AI101" s="278" t="n"/>
      <c r="AJ101" s="279" t="n"/>
      <c r="AK101" s="276" t="n"/>
    </row>
    <row r="102" outlineLevel="1" ht="15.75" customHeight="1" s="180">
      <c r="A102" s="288" t="n"/>
      <c r="B102" s="171" t="n"/>
      <c r="C102" s="274" t="n"/>
      <c r="D102" s="275" t="n"/>
      <c r="E102" s="276" t="n"/>
      <c r="F102" s="277" t="n"/>
      <c r="G102" s="278" t="n"/>
      <c r="H102" s="279" t="n"/>
      <c r="I102" s="276" t="n"/>
      <c r="J102" s="274" t="n"/>
      <c r="K102" s="275" t="n"/>
      <c r="L102" s="276" t="n"/>
      <c r="M102" s="277" t="n"/>
      <c r="N102" s="278" t="n"/>
      <c r="O102" s="279" t="n"/>
      <c r="P102" s="276" t="n"/>
      <c r="Q102" s="274" t="n"/>
      <c r="R102" s="275" t="n"/>
      <c r="S102" s="276" t="n"/>
      <c r="T102" s="277" t="n"/>
      <c r="U102" s="278" t="n"/>
      <c r="V102" s="279" t="n"/>
      <c r="W102" s="276" t="n"/>
      <c r="X102" s="274" t="n"/>
      <c r="Y102" s="275" t="n"/>
      <c r="Z102" s="276" t="n"/>
      <c r="AA102" s="277" t="n"/>
      <c r="AB102" s="278" t="n"/>
      <c r="AC102" s="279" t="n"/>
      <c r="AD102" s="276" t="n"/>
      <c r="AE102" s="274" t="n"/>
      <c r="AF102" s="275" t="n"/>
      <c r="AG102" s="276" t="n"/>
      <c r="AH102" s="277" t="n"/>
      <c r="AI102" s="278" t="n"/>
      <c r="AJ102" s="279" t="n"/>
      <c r="AK102" s="276" t="n"/>
    </row>
    <row r="103" outlineLevel="1" ht="15.75" customHeight="1" s="180">
      <c r="A103" s="288" t="n"/>
      <c r="B103" s="171" t="n"/>
      <c r="C103" s="274" t="n"/>
      <c r="D103" s="275" t="n"/>
      <c r="E103" s="276" t="n"/>
      <c r="F103" s="277" t="n"/>
      <c r="G103" s="278" t="n"/>
      <c r="H103" s="279" t="n"/>
      <c r="I103" s="276" t="n"/>
      <c r="J103" s="274" t="n"/>
      <c r="K103" s="275" t="n"/>
      <c r="L103" s="276" t="n"/>
      <c r="M103" s="277" t="n"/>
      <c r="N103" s="278" t="n"/>
      <c r="O103" s="279" t="n"/>
      <c r="P103" s="276" t="n"/>
      <c r="Q103" s="274" t="n"/>
      <c r="R103" s="275" t="n"/>
      <c r="S103" s="276" t="n"/>
      <c r="T103" s="277" t="n"/>
      <c r="U103" s="278" t="n"/>
      <c r="V103" s="279" t="n"/>
      <c r="W103" s="276" t="n"/>
      <c r="X103" s="274" t="n"/>
      <c r="Y103" s="275" t="n"/>
      <c r="Z103" s="276" t="n"/>
      <c r="AA103" s="277" t="n"/>
      <c r="AB103" s="278" t="n"/>
      <c r="AC103" s="279" t="n"/>
      <c r="AD103" s="276" t="n"/>
      <c r="AE103" s="274" t="n"/>
      <c r="AF103" s="275" t="n"/>
      <c r="AG103" s="276" t="n"/>
      <c r="AH103" s="277" t="n"/>
      <c r="AI103" s="278" t="n"/>
      <c r="AJ103" s="279" t="n"/>
      <c r="AK103" s="276" t="n"/>
    </row>
    <row r="104" outlineLevel="1" ht="15.75" customHeight="1" s="180">
      <c r="A104" s="288" t="n"/>
      <c r="B104" s="171" t="n"/>
      <c r="C104" s="274" t="n"/>
      <c r="D104" s="275" t="n"/>
      <c r="E104" s="276" t="n"/>
      <c r="F104" s="277" t="n"/>
      <c r="G104" s="278" t="n"/>
      <c r="H104" s="279" t="n"/>
      <c r="I104" s="276" t="n"/>
      <c r="J104" s="274" t="n"/>
      <c r="K104" s="275" t="n"/>
      <c r="L104" s="276" t="n"/>
      <c r="M104" s="277" t="n"/>
      <c r="N104" s="278" t="n"/>
      <c r="O104" s="279" t="n"/>
      <c r="P104" s="276" t="n"/>
      <c r="Q104" s="274" t="n"/>
      <c r="R104" s="275" t="n"/>
      <c r="S104" s="276" t="n"/>
      <c r="T104" s="277" t="n"/>
      <c r="U104" s="278" t="n"/>
      <c r="V104" s="279" t="n"/>
      <c r="W104" s="276" t="n"/>
      <c r="X104" s="274" t="n"/>
      <c r="Y104" s="275" t="n"/>
      <c r="Z104" s="276" t="n"/>
      <c r="AA104" s="277" t="n"/>
      <c r="AB104" s="278" t="n"/>
      <c r="AC104" s="279" t="n"/>
      <c r="AD104" s="276" t="n"/>
      <c r="AE104" s="274" t="n"/>
      <c r="AF104" s="275" t="n"/>
      <c r="AG104" s="276" t="n"/>
      <c r="AH104" s="277" t="n"/>
      <c r="AI104" s="278" t="n"/>
      <c r="AJ104" s="279" t="n"/>
      <c r="AK104" s="276" t="n"/>
    </row>
    <row r="105" outlineLevel="1" ht="15.75" customHeight="1" s="180">
      <c r="A105" s="288" t="n"/>
      <c r="B105" s="171" t="n"/>
      <c r="C105" s="274" t="n"/>
      <c r="D105" s="275" t="n"/>
      <c r="E105" s="276" t="n"/>
      <c r="F105" s="277" t="n"/>
      <c r="G105" s="278" t="n"/>
      <c r="H105" s="279" t="n"/>
      <c r="I105" s="276" t="n"/>
      <c r="J105" s="274" t="n"/>
      <c r="K105" s="275" t="n"/>
      <c r="L105" s="276" t="n"/>
      <c r="M105" s="277" t="n"/>
      <c r="N105" s="278" t="n"/>
      <c r="O105" s="279" t="n"/>
      <c r="P105" s="276" t="n"/>
      <c r="Q105" s="274" t="n"/>
      <c r="R105" s="275" t="n"/>
      <c r="S105" s="276" t="n"/>
      <c r="T105" s="277" t="n"/>
      <c r="U105" s="278" t="n"/>
      <c r="V105" s="279" t="n"/>
      <c r="W105" s="276" t="n"/>
      <c r="X105" s="274" t="n"/>
      <c r="Y105" s="275" t="n"/>
      <c r="Z105" s="276" t="n"/>
      <c r="AA105" s="277" t="n"/>
      <c r="AB105" s="278" t="n"/>
      <c r="AC105" s="279" t="n"/>
      <c r="AD105" s="276" t="n"/>
      <c r="AE105" s="274" t="n"/>
      <c r="AF105" s="275" t="n"/>
      <c r="AG105" s="276" t="n"/>
      <c r="AH105" s="277" t="n"/>
      <c r="AI105" s="278" t="n"/>
      <c r="AJ105" s="279" t="n"/>
      <c r="AK105" s="276" t="n"/>
    </row>
    <row r="106" outlineLevel="1" ht="15.75" customHeight="1" s="180">
      <c r="A106" s="288" t="n"/>
      <c r="B106" s="171" t="n"/>
      <c r="C106" s="274" t="n"/>
      <c r="D106" s="275" t="n"/>
      <c r="E106" s="276" t="n"/>
      <c r="F106" s="277" t="n"/>
      <c r="G106" s="278" t="n"/>
      <c r="H106" s="279" t="n"/>
      <c r="I106" s="276" t="n"/>
      <c r="J106" s="274" t="n"/>
      <c r="K106" s="275" t="n"/>
      <c r="L106" s="276" t="n"/>
      <c r="M106" s="277" t="n"/>
      <c r="N106" s="278" t="n"/>
      <c r="O106" s="279" t="n"/>
      <c r="P106" s="276" t="n"/>
      <c r="Q106" s="274" t="n"/>
      <c r="R106" s="275" t="n"/>
      <c r="S106" s="276" t="n"/>
      <c r="T106" s="277" t="n"/>
      <c r="U106" s="278" t="n"/>
      <c r="V106" s="279" t="n"/>
      <c r="W106" s="276" t="n"/>
      <c r="X106" s="274" t="n"/>
      <c r="Y106" s="275" t="n"/>
      <c r="Z106" s="276" t="n"/>
      <c r="AA106" s="277" t="n"/>
      <c r="AB106" s="278" t="n"/>
      <c r="AC106" s="279" t="n"/>
      <c r="AD106" s="276" t="n"/>
      <c r="AE106" s="274" t="n"/>
      <c r="AF106" s="275" t="n"/>
      <c r="AG106" s="276" t="n"/>
      <c r="AH106" s="277" t="n"/>
      <c r="AI106" s="278" t="n"/>
      <c r="AJ106" s="279" t="n"/>
      <c r="AK106" s="276" t="n"/>
    </row>
    <row r="107" outlineLevel="1" ht="15.75" customHeight="1" s="180" thickBot="1">
      <c r="A107" s="289" t="n"/>
      <c r="B107" s="173" t="n"/>
      <c r="C107" s="280" t="n"/>
      <c r="D107" s="281" t="n"/>
      <c r="E107" s="282" t="n"/>
      <c r="F107" s="283" t="n"/>
      <c r="G107" s="284" t="n"/>
      <c r="H107" s="285" t="n"/>
      <c r="I107" s="282" t="n"/>
      <c r="J107" s="280" t="n"/>
      <c r="K107" s="281" t="n"/>
      <c r="L107" s="282" t="n"/>
      <c r="M107" s="283" t="n"/>
      <c r="N107" s="284" t="n"/>
      <c r="O107" s="285" t="n"/>
      <c r="P107" s="282" t="n"/>
      <c r="Q107" s="280" t="n"/>
      <c r="R107" s="281" t="n"/>
      <c r="S107" s="282" t="n"/>
      <c r="T107" s="283" t="n"/>
      <c r="U107" s="284" t="n"/>
      <c r="V107" s="285" t="n"/>
      <c r="W107" s="282" t="n"/>
      <c r="X107" s="280" t="n"/>
      <c r="Y107" s="281" t="n"/>
      <c r="Z107" s="282" t="n"/>
      <c r="AA107" s="283" t="n"/>
      <c r="AB107" s="284" t="n"/>
      <c r="AC107" s="285" t="n"/>
      <c r="AD107" s="282" t="n"/>
      <c r="AE107" s="280" t="n"/>
      <c r="AF107" s="281" t="n"/>
      <c r="AG107" s="282" t="n"/>
      <c r="AH107" s="283" t="n"/>
      <c r="AI107" s="284" t="n"/>
      <c r="AJ107" s="285" t="n"/>
      <c r="AK107" s="282" t="n"/>
    </row>
    <row r="108" ht="19" customHeight="1" s="180" thickBot="1">
      <c r="A108" s="261" t="inlineStr">
        <is>
          <t>MAINTENANCE</t>
        </is>
      </c>
      <c r="B108" s="198" t="n"/>
      <c r="C108" s="262">
        <f>SUM(C109:C128)</f>
        <v/>
      </c>
      <c r="D108" s="267">
        <f>SUM(D109:D128)</f>
        <v/>
      </c>
      <c r="E108" s="264">
        <f>SUM(E109:E128)</f>
        <v/>
      </c>
      <c r="F108" s="286">
        <f>SUM(F109:F128)</f>
        <v/>
      </c>
      <c r="G108" s="266">
        <f>SUM(G109:G128)</f>
        <v/>
      </c>
      <c r="H108" s="267">
        <f>SUM(H109:H128)</f>
        <v/>
      </c>
      <c r="I108" s="264">
        <f>SUM(I109:I128)</f>
        <v/>
      </c>
      <c r="J108" s="262">
        <f>SUM(J109:J128)</f>
        <v/>
      </c>
      <c r="K108" s="267">
        <f>SUM(K109:K128)</f>
        <v/>
      </c>
      <c r="L108" s="264">
        <f>SUM(L109:L128)</f>
        <v/>
      </c>
      <c r="M108" s="286">
        <f>SUM(M109:M128)</f>
        <v/>
      </c>
      <c r="N108" s="266">
        <f>SUM(N109:N128)</f>
        <v/>
      </c>
      <c r="O108" s="267">
        <f>SUM(O109:O128)</f>
        <v/>
      </c>
      <c r="P108" s="264">
        <f>SUM(P109:P128)</f>
        <v/>
      </c>
      <c r="Q108" s="262">
        <f>SUM(Q109:Q128)</f>
        <v/>
      </c>
      <c r="R108" s="267">
        <f>SUM(R109:R128)</f>
        <v/>
      </c>
      <c r="S108" s="264">
        <f>SUM(S109:S128)</f>
        <v/>
      </c>
      <c r="T108" s="286">
        <f>SUM(T109:T128)</f>
        <v/>
      </c>
      <c r="U108" s="266">
        <f>SUM(U109:U128)</f>
        <v/>
      </c>
      <c r="V108" s="267">
        <f>SUM(V109:V128)</f>
        <v/>
      </c>
      <c r="W108" s="264">
        <f>SUM(W109:W128)</f>
        <v/>
      </c>
      <c r="X108" s="262">
        <f>SUM(X109:X128)</f>
        <v/>
      </c>
      <c r="Y108" s="267">
        <f>SUM(Y109:Y128)</f>
        <v/>
      </c>
      <c r="Z108" s="264">
        <f>SUM(Z109:Z128)</f>
        <v/>
      </c>
      <c r="AA108" s="286">
        <f>SUM(AA109:AA128)</f>
        <v/>
      </c>
      <c r="AB108" s="266">
        <f>SUM(AB109:AB128)</f>
        <v/>
      </c>
      <c r="AC108" s="267">
        <f>SUM(AC109:AC128)</f>
        <v/>
      </c>
      <c r="AD108" s="264">
        <f>SUM(AD109:AD128)</f>
        <v/>
      </c>
      <c r="AE108" s="262">
        <f>SUM(AE109:AE128)</f>
        <v/>
      </c>
      <c r="AF108" s="267">
        <f>SUM(AF109:AF128)</f>
        <v/>
      </c>
      <c r="AG108" s="264">
        <f>SUM(AG109:AG128)</f>
        <v/>
      </c>
      <c r="AH108" s="286">
        <f>SUM(AH109:AH128)</f>
        <v/>
      </c>
      <c r="AI108" s="266">
        <f>SUM(AI109:AI128)</f>
        <v/>
      </c>
      <c r="AJ108" s="267">
        <f>SUM(AJ109:AJ128)</f>
        <v/>
      </c>
      <c r="AK108" s="264">
        <f>SUM(AK109:AK128)</f>
        <v/>
      </c>
    </row>
    <row r="109" outlineLevel="1" ht="15.75" customHeight="1" s="180">
      <c r="A109" s="287" t="n"/>
      <c r="B109" s="179" t="n"/>
      <c r="C109" s="268" t="n"/>
      <c r="D109" s="269" t="n"/>
      <c r="E109" s="270" t="n"/>
      <c r="F109" s="271" t="n"/>
      <c r="G109" s="272" t="n"/>
      <c r="H109" s="273" t="n"/>
      <c r="I109" s="270" t="n"/>
      <c r="J109" s="268" t="n"/>
      <c r="K109" s="269" t="n"/>
      <c r="L109" s="270" t="n"/>
      <c r="M109" s="271" t="n"/>
      <c r="N109" s="272" t="n"/>
      <c r="O109" s="273" t="n"/>
      <c r="P109" s="270" t="n"/>
      <c r="Q109" s="268" t="n"/>
      <c r="R109" s="269" t="n"/>
      <c r="S109" s="270" t="n"/>
      <c r="T109" s="271" t="n"/>
      <c r="U109" s="272" t="n"/>
      <c r="V109" s="273" t="n"/>
      <c r="W109" s="270" t="n"/>
      <c r="X109" s="268" t="n"/>
      <c r="Y109" s="269" t="n"/>
      <c r="Z109" s="270" t="n"/>
      <c r="AA109" s="271" t="n"/>
      <c r="AB109" s="272" t="n"/>
      <c r="AC109" s="273" t="n"/>
      <c r="AD109" s="270" t="n"/>
      <c r="AE109" s="268" t="n"/>
      <c r="AF109" s="269" t="n"/>
      <c r="AG109" s="270" t="n"/>
      <c r="AH109" s="271" t="n"/>
      <c r="AI109" s="272" t="n"/>
      <c r="AJ109" s="273" t="n"/>
      <c r="AK109" s="270" t="n"/>
    </row>
    <row r="110" outlineLevel="1" ht="15.75" customHeight="1" s="180">
      <c r="A110" s="288" t="n"/>
      <c r="B110" s="171" t="n"/>
      <c r="C110" s="274" t="n"/>
      <c r="D110" s="275" t="n"/>
      <c r="E110" s="276" t="n"/>
      <c r="F110" s="277" t="n"/>
      <c r="G110" s="278" t="n"/>
      <c r="H110" s="279" t="n"/>
      <c r="I110" s="276" t="n"/>
      <c r="J110" s="274" t="n"/>
      <c r="K110" s="275" t="n"/>
      <c r="L110" s="276" t="n"/>
      <c r="M110" s="277" t="n"/>
      <c r="N110" s="278" t="n"/>
      <c r="O110" s="279" t="n"/>
      <c r="P110" s="276" t="n"/>
      <c r="Q110" s="274" t="n"/>
      <c r="R110" s="275" t="n"/>
      <c r="S110" s="276" t="n"/>
      <c r="T110" s="277" t="n"/>
      <c r="U110" s="278" t="n"/>
      <c r="V110" s="279" t="n"/>
      <c r="W110" s="276" t="n"/>
      <c r="X110" s="274" t="n"/>
      <c r="Y110" s="275" t="n"/>
      <c r="Z110" s="276" t="n"/>
      <c r="AA110" s="277" t="n"/>
      <c r="AB110" s="278" t="n"/>
      <c r="AC110" s="279" t="n"/>
      <c r="AD110" s="276" t="n"/>
      <c r="AE110" s="274" t="n"/>
      <c r="AF110" s="275" t="n"/>
      <c r="AG110" s="276" t="n"/>
      <c r="AH110" s="277" t="n"/>
      <c r="AI110" s="278" t="n"/>
      <c r="AJ110" s="279" t="n"/>
      <c r="AK110" s="276" t="n"/>
    </row>
    <row r="111" outlineLevel="1" ht="15.75" customHeight="1" s="180">
      <c r="A111" s="288" t="n"/>
      <c r="B111" s="171" t="n"/>
      <c r="C111" s="274" t="n"/>
      <c r="D111" s="275" t="n"/>
      <c r="E111" s="276" t="n"/>
      <c r="F111" s="277" t="n"/>
      <c r="G111" s="278" t="n"/>
      <c r="H111" s="279" t="n"/>
      <c r="I111" s="276" t="n"/>
      <c r="J111" s="274" t="n"/>
      <c r="K111" s="275" t="n"/>
      <c r="L111" s="276" t="n"/>
      <c r="M111" s="277" t="n"/>
      <c r="N111" s="278" t="n"/>
      <c r="O111" s="279" t="n"/>
      <c r="P111" s="276" t="n"/>
      <c r="Q111" s="274" t="n"/>
      <c r="R111" s="275" t="n"/>
      <c r="S111" s="276" t="n"/>
      <c r="T111" s="277" t="n"/>
      <c r="U111" s="278" t="n"/>
      <c r="V111" s="279" t="n"/>
      <c r="W111" s="276" t="n"/>
      <c r="X111" s="274" t="n"/>
      <c r="Y111" s="275" t="n"/>
      <c r="Z111" s="276" t="n"/>
      <c r="AA111" s="277" t="n"/>
      <c r="AB111" s="278" t="n"/>
      <c r="AC111" s="279" t="n"/>
      <c r="AD111" s="276" t="n"/>
      <c r="AE111" s="274" t="n"/>
      <c r="AF111" s="275" t="n"/>
      <c r="AG111" s="276" t="n"/>
      <c r="AH111" s="277" t="n"/>
      <c r="AI111" s="278" t="n"/>
      <c r="AJ111" s="279" t="n"/>
      <c r="AK111" s="276" t="n"/>
    </row>
    <row r="112" outlineLevel="1" ht="15.75" customHeight="1" s="180">
      <c r="A112" s="288" t="n"/>
      <c r="B112" s="171" t="n"/>
      <c r="C112" s="274" t="n"/>
      <c r="D112" s="275" t="n"/>
      <c r="E112" s="276" t="n"/>
      <c r="F112" s="277" t="n"/>
      <c r="G112" s="278" t="n"/>
      <c r="H112" s="279" t="n"/>
      <c r="I112" s="276" t="n"/>
      <c r="J112" s="274" t="n"/>
      <c r="K112" s="275" t="n"/>
      <c r="L112" s="276" t="n"/>
      <c r="M112" s="277" t="n"/>
      <c r="N112" s="278" t="n"/>
      <c r="O112" s="279" t="n"/>
      <c r="P112" s="276" t="n"/>
      <c r="Q112" s="274" t="n"/>
      <c r="R112" s="275" t="n"/>
      <c r="S112" s="276" t="n"/>
      <c r="T112" s="277" t="n"/>
      <c r="U112" s="278" t="n"/>
      <c r="V112" s="279" t="n"/>
      <c r="W112" s="276" t="n"/>
      <c r="X112" s="274" t="n"/>
      <c r="Y112" s="275" t="n"/>
      <c r="Z112" s="276" t="n"/>
      <c r="AA112" s="277" t="n"/>
      <c r="AB112" s="278" t="n"/>
      <c r="AC112" s="279" t="n"/>
      <c r="AD112" s="276" t="n"/>
      <c r="AE112" s="274" t="n"/>
      <c r="AF112" s="275" t="n"/>
      <c r="AG112" s="276" t="n"/>
      <c r="AH112" s="277" t="n"/>
      <c r="AI112" s="278" t="n"/>
      <c r="AJ112" s="279" t="n"/>
      <c r="AK112" s="276" t="n"/>
    </row>
    <row r="113" outlineLevel="1" ht="15.75" customHeight="1" s="180">
      <c r="A113" s="288" t="n"/>
      <c r="B113" s="171" t="n"/>
      <c r="C113" s="274" t="n"/>
      <c r="D113" s="275" t="n"/>
      <c r="E113" s="276" t="n"/>
      <c r="F113" s="277" t="n"/>
      <c r="G113" s="278" t="n"/>
      <c r="H113" s="279" t="n"/>
      <c r="I113" s="276" t="n"/>
      <c r="J113" s="274" t="n"/>
      <c r="K113" s="275" t="n"/>
      <c r="L113" s="276" t="n"/>
      <c r="M113" s="277" t="n"/>
      <c r="N113" s="278" t="n"/>
      <c r="O113" s="279" t="n"/>
      <c r="P113" s="276" t="n"/>
      <c r="Q113" s="274" t="n"/>
      <c r="R113" s="275" t="n"/>
      <c r="S113" s="276" t="n"/>
      <c r="T113" s="277" t="n"/>
      <c r="U113" s="278" t="n"/>
      <c r="V113" s="279" t="n"/>
      <c r="W113" s="276" t="n"/>
      <c r="X113" s="274" t="n"/>
      <c r="Y113" s="275" t="n"/>
      <c r="Z113" s="276" t="n"/>
      <c r="AA113" s="277" t="n"/>
      <c r="AB113" s="278" t="n"/>
      <c r="AC113" s="279" t="n"/>
      <c r="AD113" s="276" t="n"/>
      <c r="AE113" s="274" t="n"/>
      <c r="AF113" s="275" t="n"/>
      <c r="AG113" s="276" t="n"/>
      <c r="AH113" s="277" t="n"/>
      <c r="AI113" s="278" t="n"/>
      <c r="AJ113" s="279" t="n"/>
      <c r="AK113" s="276" t="n"/>
    </row>
    <row r="114" outlineLevel="1" ht="15.75" customHeight="1" s="180">
      <c r="A114" s="288" t="n"/>
      <c r="B114" s="171" t="n"/>
      <c r="C114" s="274" t="n"/>
      <c r="D114" s="275" t="n"/>
      <c r="E114" s="276" t="n"/>
      <c r="F114" s="277" t="n"/>
      <c r="G114" s="278" t="n"/>
      <c r="H114" s="279" t="n"/>
      <c r="I114" s="276" t="n"/>
      <c r="J114" s="274" t="n"/>
      <c r="K114" s="275" t="n"/>
      <c r="L114" s="276" t="n"/>
      <c r="M114" s="277" t="n"/>
      <c r="N114" s="278" t="n"/>
      <c r="O114" s="279" t="n"/>
      <c r="P114" s="276" t="n"/>
      <c r="Q114" s="274" t="n"/>
      <c r="R114" s="275" t="n"/>
      <c r="S114" s="276" t="n"/>
      <c r="T114" s="277" t="n"/>
      <c r="U114" s="278" t="n"/>
      <c r="V114" s="279" t="n"/>
      <c r="W114" s="276" t="n"/>
      <c r="X114" s="274" t="n"/>
      <c r="Y114" s="275" t="n"/>
      <c r="Z114" s="276" t="n"/>
      <c r="AA114" s="277" t="n"/>
      <c r="AB114" s="278" t="n"/>
      <c r="AC114" s="279" t="n"/>
      <c r="AD114" s="276" t="n"/>
      <c r="AE114" s="274" t="n"/>
      <c r="AF114" s="275" t="n"/>
      <c r="AG114" s="276" t="n"/>
      <c r="AH114" s="277" t="n"/>
      <c r="AI114" s="278" t="n"/>
      <c r="AJ114" s="279" t="n"/>
      <c r="AK114" s="276" t="n"/>
    </row>
    <row r="115" outlineLevel="1" ht="15.75" customHeight="1" s="180">
      <c r="A115" s="288" t="n"/>
      <c r="B115" s="171" t="n"/>
      <c r="C115" s="274" t="n"/>
      <c r="D115" s="275" t="n"/>
      <c r="E115" s="276" t="n"/>
      <c r="F115" s="277" t="n"/>
      <c r="G115" s="278" t="n"/>
      <c r="H115" s="279" t="n"/>
      <c r="I115" s="276" t="n"/>
      <c r="J115" s="274" t="n"/>
      <c r="K115" s="275" t="n"/>
      <c r="L115" s="276" t="n"/>
      <c r="M115" s="277" t="n"/>
      <c r="N115" s="278" t="n"/>
      <c r="O115" s="279" t="n"/>
      <c r="P115" s="276" t="n"/>
      <c r="Q115" s="274" t="n"/>
      <c r="R115" s="275" t="n"/>
      <c r="S115" s="276" t="n"/>
      <c r="T115" s="277" t="n"/>
      <c r="U115" s="278" t="n"/>
      <c r="V115" s="279" t="n"/>
      <c r="W115" s="276" t="n"/>
      <c r="X115" s="274" t="n"/>
      <c r="Y115" s="275" t="n"/>
      <c r="Z115" s="276" t="n"/>
      <c r="AA115" s="277" t="n"/>
      <c r="AB115" s="278" t="n"/>
      <c r="AC115" s="279" t="n"/>
      <c r="AD115" s="276" t="n"/>
      <c r="AE115" s="274" t="n"/>
      <c r="AF115" s="275" t="n"/>
      <c r="AG115" s="276" t="n"/>
      <c r="AH115" s="277" t="n"/>
      <c r="AI115" s="278" t="n"/>
      <c r="AJ115" s="279" t="n"/>
      <c r="AK115" s="276" t="n"/>
    </row>
    <row r="116" outlineLevel="1" ht="15.75" customHeight="1" s="180">
      <c r="A116" s="288" t="n"/>
      <c r="B116" s="171" t="n"/>
      <c r="C116" s="274" t="n"/>
      <c r="D116" s="275" t="n"/>
      <c r="E116" s="276" t="n"/>
      <c r="F116" s="277" t="n"/>
      <c r="G116" s="278" t="n"/>
      <c r="H116" s="279" t="n"/>
      <c r="I116" s="276" t="n"/>
      <c r="J116" s="274" t="n"/>
      <c r="K116" s="275" t="n"/>
      <c r="L116" s="276" t="n"/>
      <c r="M116" s="277" t="n"/>
      <c r="N116" s="278" t="n"/>
      <c r="O116" s="279" t="n"/>
      <c r="P116" s="276" t="n"/>
      <c r="Q116" s="274" t="n"/>
      <c r="R116" s="275" t="n"/>
      <c r="S116" s="276" t="n"/>
      <c r="T116" s="277" t="n"/>
      <c r="U116" s="278" t="n"/>
      <c r="V116" s="279" t="n"/>
      <c r="W116" s="276" t="n"/>
      <c r="X116" s="274" t="n"/>
      <c r="Y116" s="275" t="n"/>
      <c r="Z116" s="276" t="n"/>
      <c r="AA116" s="277" t="n"/>
      <c r="AB116" s="278" t="n"/>
      <c r="AC116" s="279" t="n"/>
      <c r="AD116" s="276" t="n"/>
      <c r="AE116" s="274" t="n"/>
      <c r="AF116" s="275" t="n"/>
      <c r="AG116" s="276" t="n"/>
      <c r="AH116" s="277" t="n"/>
      <c r="AI116" s="278" t="n"/>
      <c r="AJ116" s="279" t="n"/>
      <c r="AK116" s="276" t="n"/>
    </row>
    <row r="117" outlineLevel="1" ht="15.75" customHeight="1" s="180">
      <c r="A117" s="288" t="n"/>
      <c r="B117" s="171" t="n"/>
      <c r="C117" s="274" t="n"/>
      <c r="D117" s="275" t="n"/>
      <c r="E117" s="276" t="n"/>
      <c r="F117" s="277" t="n"/>
      <c r="G117" s="278" t="n"/>
      <c r="H117" s="279" t="n"/>
      <c r="I117" s="276" t="n"/>
      <c r="J117" s="274" t="n"/>
      <c r="K117" s="275" t="n"/>
      <c r="L117" s="276" t="n"/>
      <c r="M117" s="277" t="n"/>
      <c r="N117" s="278" t="n"/>
      <c r="O117" s="279" t="n"/>
      <c r="P117" s="276" t="n"/>
      <c r="Q117" s="274" t="n"/>
      <c r="R117" s="275" t="n"/>
      <c r="S117" s="276" t="n"/>
      <c r="T117" s="277" t="n"/>
      <c r="U117" s="278" t="n"/>
      <c r="V117" s="279" t="n"/>
      <c r="W117" s="276" t="n"/>
      <c r="X117" s="274" t="n"/>
      <c r="Y117" s="275" t="n"/>
      <c r="Z117" s="276" t="n"/>
      <c r="AA117" s="277" t="n"/>
      <c r="AB117" s="278" t="n"/>
      <c r="AC117" s="279" t="n"/>
      <c r="AD117" s="276" t="n"/>
      <c r="AE117" s="274" t="n"/>
      <c r="AF117" s="275" t="n"/>
      <c r="AG117" s="276" t="n"/>
      <c r="AH117" s="277" t="n"/>
      <c r="AI117" s="278" t="n"/>
      <c r="AJ117" s="279" t="n"/>
      <c r="AK117" s="276" t="n"/>
    </row>
    <row r="118" outlineLevel="1" ht="15.75" customHeight="1" s="180">
      <c r="A118" s="288" t="n"/>
      <c r="B118" s="171" t="n"/>
      <c r="C118" s="274" t="n"/>
      <c r="D118" s="275" t="n"/>
      <c r="E118" s="276" t="n"/>
      <c r="F118" s="277" t="n"/>
      <c r="G118" s="278" t="n"/>
      <c r="H118" s="279" t="n"/>
      <c r="I118" s="276" t="n"/>
      <c r="J118" s="274" t="n"/>
      <c r="K118" s="275" t="n"/>
      <c r="L118" s="276" t="n"/>
      <c r="M118" s="277" t="n"/>
      <c r="N118" s="278" t="n"/>
      <c r="O118" s="279" t="n"/>
      <c r="P118" s="276" t="n"/>
      <c r="Q118" s="274" t="n"/>
      <c r="R118" s="275" t="n"/>
      <c r="S118" s="276" t="n"/>
      <c r="T118" s="277" t="n"/>
      <c r="U118" s="278" t="n"/>
      <c r="V118" s="279" t="n"/>
      <c r="W118" s="276" t="n"/>
      <c r="X118" s="274" t="n"/>
      <c r="Y118" s="275" t="n"/>
      <c r="Z118" s="276" t="n"/>
      <c r="AA118" s="277" t="n"/>
      <c r="AB118" s="278" t="n"/>
      <c r="AC118" s="279" t="n"/>
      <c r="AD118" s="276" t="n"/>
      <c r="AE118" s="274" t="n"/>
      <c r="AF118" s="275" t="n"/>
      <c r="AG118" s="276" t="n"/>
      <c r="AH118" s="277" t="n"/>
      <c r="AI118" s="278" t="n"/>
      <c r="AJ118" s="279" t="n"/>
      <c r="AK118" s="276" t="n"/>
    </row>
    <row r="119" outlineLevel="1" ht="15.75" customHeight="1" s="180">
      <c r="A119" s="288" t="n"/>
      <c r="B119" s="171" t="n"/>
      <c r="C119" s="274" t="n"/>
      <c r="D119" s="275" t="n"/>
      <c r="E119" s="276" t="n"/>
      <c r="F119" s="277" t="n"/>
      <c r="G119" s="278" t="n"/>
      <c r="H119" s="279" t="n"/>
      <c r="I119" s="276" t="n"/>
      <c r="J119" s="274" t="n"/>
      <c r="K119" s="275" t="n"/>
      <c r="L119" s="276" t="n"/>
      <c r="M119" s="277" t="n"/>
      <c r="N119" s="278" t="n"/>
      <c r="O119" s="279" t="n"/>
      <c r="P119" s="276" t="n"/>
      <c r="Q119" s="274" t="n"/>
      <c r="R119" s="275" t="n"/>
      <c r="S119" s="276" t="n"/>
      <c r="T119" s="277" t="n"/>
      <c r="U119" s="278" t="n"/>
      <c r="V119" s="279" t="n"/>
      <c r="W119" s="276" t="n"/>
      <c r="X119" s="274" t="n"/>
      <c r="Y119" s="275" t="n"/>
      <c r="Z119" s="276" t="n"/>
      <c r="AA119" s="277" t="n"/>
      <c r="AB119" s="278" t="n"/>
      <c r="AC119" s="279" t="n"/>
      <c r="AD119" s="276" t="n"/>
      <c r="AE119" s="274" t="n"/>
      <c r="AF119" s="275" t="n"/>
      <c r="AG119" s="276" t="n"/>
      <c r="AH119" s="277" t="n"/>
      <c r="AI119" s="278" t="n"/>
      <c r="AJ119" s="279" t="n"/>
      <c r="AK119" s="276" t="n"/>
    </row>
    <row r="120" outlineLevel="1" ht="15.75" customHeight="1" s="180">
      <c r="A120" s="288" t="n"/>
      <c r="B120" s="171" t="n"/>
      <c r="C120" s="274" t="n"/>
      <c r="D120" s="275" t="n"/>
      <c r="E120" s="276" t="n"/>
      <c r="F120" s="277" t="n"/>
      <c r="G120" s="278" t="n"/>
      <c r="H120" s="279" t="n"/>
      <c r="I120" s="276" t="n"/>
      <c r="J120" s="274" t="n"/>
      <c r="K120" s="275" t="n"/>
      <c r="L120" s="276" t="n"/>
      <c r="M120" s="277" t="n"/>
      <c r="N120" s="278" t="n"/>
      <c r="O120" s="279" t="n"/>
      <c r="P120" s="276" t="n"/>
      <c r="Q120" s="274" t="n"/>
      <c r="R120" s="275" t="n"/>
      <c r="S120" s="276" t="n"/>
      <c r="T120" s="277" t="n"/>
      <c r="U120" s="278" t="n"/>
      <c r="V120" s="279" t="n"/>
      <c r="W120" s="276" t="n"/>
      <c r="X120" s="274" t="n"/>
      <c r="Y120" s="275" t="n"/>
      <c r="Z120" s="276" t="n"/>
      <c r="AA120" s="277" t="n"/>
      <c r="AB120" s="278" t="n"/>
      <c r="AC120" s="279" t="n"/>
      <c r="AD120" s="276" t="n"/>
      <c r="AE120" s="274" t="n"/>
      <c r="AF120" s="275" t="n"/>
      <c r="AG120" s="276" t="n"/>
      <c r="AH120" s="277" t="n"/>
      <c r="AI120" s="278" t="n"/>
      <c r="AJ120" s="279" t="n"/>
      <c r="AK120" s="276" t="n"/>
    </row>
    <row r="121" outlineLevel="1" ht="15.75" customHeight="1" s="180">
      <c r="A121" s="288" t="n"/>
      <c r="B121" s="171" t="n"/>
      <c r="C121" s="274" t="n"/>
      <c r="D121" s="275" t="n"/>
      <c r="E121" s="276" t="n"/>
      <c r="F121" s="277" t="n"/>
      <c r="G121" s="278" t="n"/>
      <c r="H121" s="279" t="n"/>
      <c r="I121" s="276" t="n"/>
      <c r="J121" s="274" t="n"/>
      <c r="K121" s="275" t="n"/>
      <c r="L121" s="276" t="n"/>
      <c r="M121" s="277" t="n"/>
      <c r="N121" s="278" t="n"/>
      <c r="O121" s="279" t="n"/>
      <c r="P121" s="276" t="n"/>
      <c r="Q121" s="274" t="n"/>
      <c r="R121" s="275" t="n"/>
      <c r="S121" s="276" t="n"/>
      <c r="T121" s="277" t="n"/>
      <c r="U121" s="278" t="n"/>
      <c r="V121" s="279" t="n"/>
      <c r="W121" s="276" t="n"/>
      <c r="X121" s="274" t="n"/>
      <c r="Y121" s="275" t="n"/>
      <c r="Z121" s="276" t="n"/>
      <c r="AA121" s="277" t="n"/>
      <c r="AB121" s="278" t="n"/>
      <c r="AC121" s="279" t="n"/>
      <c r="AD121" s="276" t="n"/>
      <c r="AE121" s="274" t="n"/>
      <c r="AF121" s="275" t="n"/>
      <c r="AG121" s="276" t="n"/>
      <c r="AH121" s="277" t="n"/>
      <c r="AI121" s="278" t="n"/>
      <c r="AJ121" s="279" t="n"/>
      <c r="AK121" s="276" t="n"/>
    </row>
    <row r="122" outlineLevel="1" ht="15.75" customHeight="1" s="180">
      <c r="A122" s="288" t="n"/>
      <c r="B122" s="171" t="n"/>
      <c r="C122" s="274" t="n"/>
      <c r="D122" s="275" t="n"/>
      <c r="E122" s="276" t="n"/>
      <c r="F122" s="277" t="n"/>
      <c r="G122" s="278" t="n"/>
      <c r="H122" s="279" t="n"/>
      <c r="I122" s="276" t="n"/>
      <c r="J122" s="274" t="n"/>
      <c r="K122" s="275" t="n"/>
      <c r="L122" s="276" t="n"/>
      <c r="M122" s="277" t="n"/>
      <c r="N122" s="278" t="n"/>
      <c r="O122" s="279" t="n"/>
      <c r="P122" s="276" t="n"/>
      <c r="Q122" s="274" t="n"/>
      <c r="R122" s="275" t="n"/>
      <c r="S122" s="276" t="n"/>
      <c r="T122" s="277" t="n"/>
      <c r="U122" s="278" t="n"/>
      <c r="V122" s="279" t="n"/>
      <c r="W122" s="276" t="n"/>
      <c r="X122" s="274" t="n"/>
      <c r="Y122" s="275" t="n"/>
      <c r="Z122" s="276" t="n"/>
      <c r="AA122" s="277" t="n"/>
      <c r="AB122" s="278" t="n"/>
      <c r="AC122" s="279" t="n"/>
      <c r="AD122" s="276" t="n"/>
      <c r="AE122" s="274" t="n"/>
      <c r="AF122" s="275" t="n"/>
      <c r="AG122" s="276" t="n"/>
      <c r="AH122" s="277" t="n"/>
      <c r="AI122" s="278" t="n"/>
      <c r="AJ122" s="279" t="n"/>
      <c r="AK122" s="276" t="n"/>
    </row>
    <row r="123" outlineLevel="1" ht="15.75" customHeight="1" s="180">
      <c r="A123" s="288" t="n"/>
      <c r="B123" s="171" t="n"/>
      <c r="C123" s="274" t="n"/>
      <c r="D123" s="275" t="n"/>
      <c r="E123" s="276" t="n"/>
      <c r="F123" s="277" t="n"/>
      <c r="G123" s="278" t="n"/>
      <c r="H123" s="279" t="n"/>
      <c r="I123" s="276" t="n"/>
      <c r="J123" s="274" t="n"/>
      <c r="K123" s="275" t="n"/>
      <c r="L123" s="276" t="n"/>
      <c r="M123" s="277" t="n"/>
      <c r="N123" s="278" t="n"/>
      <c r="O123" s="279" t="n"/>
      <c r="P123" s="276" t="n"/>
      <c r="Q123" s="274" t="n"/>
      <c r="R123" s="275" t="n"/>
      <c r="S123" s="276" t="n"/>
      <c r="T123" s="277" t="n"/>
      <c r="U123" s="278" t="n"/>
      <c r="V123" s="279" t="n"/>
      <c r="W123" s="276" t="n"/>
      <c r="X123" s="274" t="n"/>
      <c r="Y123" s="275" t="n"/>
      <c r="Z123" s="276" t="n"/>
      <c r="AA123" s="277" t="n"/>
      <c r="AB123" s="278" t="n"/>
      <c r="AC123" s="279" t="n"/>
      <c r="AD123" s="276" t="n"/>
      <c r="AE123" s="274" t="n"/>
      <c r="AF123" s="275" t="n"/>
      <c r="AG123" s="276" t="n"/>
      <c r="AH123" s="277" t="n"/>
      <c r="AI123" s="278" t="n"/>
      <c r="AJ123" s="279" t="n"/>
      <c r="AK123" s="276" t="n"/>
    </row>
    <row r="124" outlineLevel="1" ht="15.75" customHeight="1" s="180">
      <c r="A124" s="288" t="n"/>
      <c r="B124" s="171" t="n"/>
      <c r="C124" s="274" t="n"/>
      <c r="D124" s="275" t="n"/>
      <c r="E124" s="276" t="n"/>
      <c r="F124" s="277" t="n"/>
      <c r="G124" s="278" t="n"/>
      <c r="H124" s="279" t="n"/>
      <c r="I124" s="276" t="n"/>
      <c r="J124" s="274" t="n"/>
      <c r="K124" s="275" t="n"/>
      <c r="L124" s="276" t="n"/>
      <c r="M124" s="277" t="n"/>
      <c r="N124" s="278" t="n"/>
      <c r="O124" s="279" t="n"/>
      <c r="P124" s="276" t="n"/>
      <c r="Q124" s="274" t="n"/>
      <c r="R124" s="275" t="n"/>
      <c r="S124" s="276" t="n"/>
      <c r="T124" s="277" t="n"/>
      <c r="U124" s="278" t="n"/>
      <c r="V124" s="279" t="n"/>
      <c r="W124" s="276" t="n"/>
      <c r="X124" s="274" t="n"/>
      <c r="Y124" s="275" t="n"/>
      <c r="Z124" s="276" t="n"/>
      <c r="AA124" s="277" t="n"/>
      <c r="AB124" s="278" t="n"/>
      <c r="AC124" s="279" t="n"/>
      <c r="AD124" s="276" t="n"/>
      <c r="AE124" s="274" t="n"/>
      <c r="AF124" s="275" t="n"/>
      <c r="AG124" s="276" t="n"/>
      <c r="AH124" s="277" t="n"/>
      <c r="AI124" s="278" t="n"/>
      <c r="AJ124" s="279" t="n"/>
      <c r="AK124" s="276" t="n"/>
    </row>
    <row r="125" outlineLevel="1" ht="15.75" customHeight="1" s="180">
      <c r="A125" s="288" t="n"/>
      <c r="B125" s="171" t="n"/>
      <c r="C125" s="274" t="n"/>
      <c r="D125" s="275" t="n"/>
      <c r="E125" s="276" t="n"/>
      <c r="F125" s="277" t="n"/>
      <c r="G125" s="278" t="n"/>
      <c r="H125" s="279" t="n"/>
      <c r="I125" s="276" t="n"/>
      <c r="J125" s="274" t="n"/>
      <c r="K125" s="275" t="n"/>
      <c r="L125" s="276" t="n"/>
      <c r="M125" s="277" t="n"/>
      <c r="N125" s="278" t="n"/>
      <c r="O125" s="279" t="n"/>
      <c r="P125" s="276" t="n"/>
      <c r="Q125" s="274" t="n"/>
      <c r="R125" s="275" t="n"/>
      <c r="S125" s="276" t="n"/>
      <c r="T125" s="277" t="n"/>
      <c r="U125" s="278" t="n"/>
      <c r="V125" s="279" t="n"/>
      <c r="W125" s="276" t="n"/>
      <c r="X125" s="274" t="n"/>
      <c r="Y125" s="275" t="n"/>
      <c r="Z125" s="276" t="n"/>
      <c r="AA125" s="277" t="n"/>
      <c r="AB125" s="278" t="n"/>
      <c r="AC125" s="279" t="n"/>
      <c r="AD125" s="276" t="n"/>
      <c r="AE125" s="274" t="n"/>
      <c r="AF125" s="275" t="n"/>
      <c r="AG125" s="276" t="n"/>
      <c r="AH125" s="277" t="n"/>
      <c r="AI125" s="278" t="n"/>
      <c r="AJ125" s="279" t="n"/>
      <c r="AK125" s="276" t="n"/>
    </row>
    <row r="126" outlineLevel="1" ht="15.75" customHeight="1" s="180">
      <c r="A126" s="288" t="n"/>
      <c r="B126" s="171" t="n"/>
      <c r="C126" s="274" t="n"/>
      <c r="D126" s="275" t="n"/>
      <c r="E126" s="276" t="n"/>
      <c r="F126" s="277" t="n"/>
      <c r="G126" s="278" t="n"/>
      <c r="H126" s="279" t="n"/>
      <c r="I126" s="276" t="n"/>
      <c r="J126" s="274" t="n"/>
      <c r="K126" s="275" t="n"/>
      <c r="L126" s="276" t="n"/>
      <c r="M126" s="277" t="n"/>
      <c r="N126" s="278" t="n"/>
      <c r="O126" s="279" t="n"/>
      <c r="P126" s="276" t="n"/>
      <c r="Q126" s="274" t="n"/>
      <c r="R126" s="275" t="n"/>
      <c r="S126" s="276" t="n"/>
      <c r="T126" s="277" t="n"/>
      <c r="U126" s="278" t="n"/>
      <c r="V126" s="279" t="n"/>
      <c r="W126" s="276" t="n"/>
      <c r="X126" s="274" t="n"/>
      <c r="Y126" s="275" t="n"/>
      <c r="Z126" s="276" t="n"/>
      <c r="AA126" s="277" t="n"/>
      <c r="AB126" s="278" t="n"/>
      <c r="AC126" s="279" t="n"/>
      <c r="AD126" s="276" t="n"/>
      <c r="AE126" s="274" t="n"/>
      <c r="AF126" s="275" t="n"/>
      <c r="AG126" s="276" t="n"/>
      <c r="AH126" s="277" t="n"/>
      <c r="AI126" s="278" t="n"/>
      <c r="AJ126" s="279" t="n"/>
      <c r="AK126" s="276" t="n"/>
    </row>
    <row r="127" outlineLevel="1" ht="15.75" customHeight="1" s="180">
      <c r="A127" s="288" t="n"/>
      <c r="B127" s="171" t="n"/>
      <c r="C127" s="274" t="n"/>
      <c r="D127" s="275" t="n"/>
      <c r="E127" s="276" t="n"/>
      <c r="F127" s="277" t="n"/>
      <c r="G127" s="278" t="n"/>
      <c r="H127" s="279" t="n"/>
      <c r="I127" s="276" t="n"/>
      <c r="J127" s="274" t="n"/>
      <c r="K127" s="275" t="n"/>
      <c r="L127" s="276" t="n"/>
      <c r="M127" s="277" t="n"/>
      <c r="N127" s="278" t="n"/>
      <c r="O127" s="279" t="n"/>
      <c r="P127" s="276" t="n"/>
      <c r="Q127" s="274" t="n"/>
      <c r="R127" s="275" t="n"/>
      <c r="S127" s="276" t="n"/>
      <c r="T127" s="277" t="n"/>
      <c r="U127" s="278" t="n"/>
      <c r="V127" s="279" t="n"/>
      <c r="W127" s="276" t="n"/>
      <c r="X127" s="274" t="n"/>
      <c r="Y127" s="275" t="n"/>
      <c r="Z127" s="276" t="n"/>
      <c r="AA127" s="277" t="n"/>
      <c r="AB127" s="278" t="n"/>
      <c r="AC127" s="279" t="n"/>
      <c r="AD127" s="276" t="n"/>
      <c r="AE127" s="274" t="n"/>
      <c r="AF127" s="275" t="n"/>
      <c r="AG127" s="276" t="n"/>
      <c r="AH127" s="277" t="n"/>
      <c r="AI127" s="278" t="n"/>
      <c r="AJ127" s="279" t="n"/>
      <c r="AK127" s="276" t="n"/>
    </row>
    <row r="128" outlineLevel="1" ht="15.75" customHeight="1" s="180" thickBot="1">
      <c r="A128" s="289" t="n"/>
      <c r="B128" s="173" t="n"/>
      <c r="C128" s="280" t="n"/>
      <c r="D128" s="281" t="n"/>
      <c r="E128" s="282" t="n"/>
      <c r="F128" s="283" t="n"/>
      <c r="G128" s="284" t="n"/>
      <c r="H128" s="285" t="n"/>
      <c r="I128" s="282" t="n"/>
      <c r="J128" s="280" t="n"/>
      <c r="K128" s="281" t="n"/>
      <c r="L128" s="282" t="n"/>
      <c r="M128" s="283" t="n"/>
      <c r="N128" s="284" t="n"/>
      <c r="O128" s="285" t="n"/>
      <c r="P128" s="282" t="n"/>
      <c r="Q128" s="280" t="n"/>
      <c r="R128" s="281" t="n"/>
      <c r="S128" s="282" t="n"/>
      <c r="T128" s="283" t="n"/>
      <c r="U128" s="284" t="n"/>
      <c r="V128" s="285" t="n"/>
      <c r="W128" s="282" t="n"/>
      <c r="X128" s="280" t="n"/>
      <c r="Y128" s="281" t="n"/>
      <c r="Z128" s="282" t="n"/>
      <c r="AA128" s="283" t="n"/>
      <c r="AB128" s="284" t="n"/>
      <c r="AC128" s="285" t="n"/>
      <c r="AD128" s="282" t="n"/>
      <c r="AE128" s="280" t="n"/>
      <c r="AF128" s="281" t="n"/>
      <c r="AG128" s="282" t="n"/>
      <c r="AH128" s="283" t="n"/>
      <c r="AI128" s="284" t="n"/>
      <c r="AJ128" s="285" t="n"/>
      <c r="AK128" s="282" t="n"/>
    </row>
    <row r="129" ht="19" customHeight="1" s="180" thickBot="1">
      <c r="A129" s="261" t="inlineStr">
        <is>
          <t>OTHER</t>
        </is>
      </c>
      <c r="B129" s="198" t="n"/>
      <c r="C129" s="262">
        <f>SUM(C130:C149)</f>
        <v/>
      </c>
      <c r="D129" s="267">
        <f>SUM(D130:D149)</f>
        <v/>
      </c>
      <c r="E129" s="264">
        <f>SUM(E130:E149)</f>
        <v/>
      </c>
      <c r="F129" s="286">
        <f>SUM(F130:F149)</f>
        <v/>
      </c>
      <c r="G129" s="266">
        <f>SUM(G130:G149)</f>
        <v/>
      </c>
      <c r="H129" s="267">
        <f>SUM(H130:H149)</f>
        <v/>
      </c>
      <c r="I129" s="264">
        <f>SUM(I130:I149)</f>
        <v/>
      </c>
      <c r="J129" s="262">
        <f>SUM(J130:J149)</f>
        <v/>
      </c>
      <c r="K129" s="267">
        <f>SUM(K130:K149)</f>
        <v/>
      </c>
      <c r="L129" s="264">
        <f>SUM(L130:L149)</f>
        <v/>
      </c>
      <c r="M129" s="286">
        <f>SUM(M130:M149)</f>
        <v/>
      </c>
      <c r="N129" s="266">
        <f>SUM(N130:N149)</f>
        <v/>
      </c>
      <c r="O129" s="267">
        <f>SUM(O130:O149)</f>
        <v/>
      </c>
      <c r="P129" s="264">
        <f>SUM(P130:P149)</f>
        <v/>
      </c>
      <c r="Q129" s="262">
        <f>SUM(Q130:Q149)</f>
        <v/>
      </c>
      <c r="R129" s="267">
        <f>SUM(R130:R149)</f>
        <v/>
      </c>
      <c r="S129" s="264">
        <f>SUM(S130:S149)</f>
        <v/>
      </c>
      <c r="T129" s="286">
        <f>SUM(T130:T149)</f>
        <v/>
      </c>
      <c r="U129" s="266">
        <f>SUM(U130:U149)</f>
        <v/>
      </c>
      <c r="V129" s="267">
        <f>SUM(V130:V149)</f>
        <v/>
      </c>
      <c r="W129" s="264">
        <f>SUM(W130:W149)</f>
        <v/>
      </c>
      <c r="X129" s="262">
        <f>SUM(X130:X149)</f>
        <v/>
      </c>
      <c r="Y129" s="267">
        <f>SUM(Y130:Y149)</f>
        <v/>
      </c>
      <c r="Z129" s="264">
        <f>SUM(Z130:Z149)</f>
        <v/>
      </c>
      <c r="AA129" s="286">
        <f>SUM(AA130:AA149)</f>
        <v/>
      </c>
      <c r="AB129" s="266">
        <f>SUM(AB130:AB149)</f>
        <v/>
      </c>
      <c r="AC129" s="267">
        <f>SUM(AC130:AC149)</f>
        <v/>
      </c>
      <c r="AD129" s="264">
        <f>SUM(AD130:AD149)</f>
        <v/>
      </c>
      <c r="AE129" s="262">
        <f>SUM(AE130:AE149)</f>
        <v/>
      </c>
      <c r="AF129" s="267">
        <f>SUM(AF130:AF149)</f>
        <v/>
      </c>
      <c r="AG129" s="264">
        <f>SUM(AG130:AG149)</f>
        <v/>
      </c>
      <c r="AH129" s="286">
        <f>SUM(AH130:AH149)</f>
        <v/>
      </c>
      <c r="AI129" s="266">
        <f>SUM(AI130:AI149)</f>
        <v/>
      </c>
      <c r="AJ129" s="267">
        <f>SUM(AJ130:AJ149)</f>
        <v/>
      </c>
      <c r="AK129" s="264">
        <f>SUM(AK130:AK149)</f>
        <v/>
      </c>
    </row>
    <row r="130" outlineLevel="1" ht="14.5" customHeight="1" s="180">
      <c r="A130" s="287" t="inlineStr">
        <is>
          <t>Publication Fees for Gold Open Access</t>
        </is>
      </c>
      <c r="B130" s="179" t="n"/>
      <c r="C130" s="268" t="n">
        <v>4000</v>
      </c>
      <c r="D130" s="269" t="n">
        <v>0</v>
      </c>
      <c r="E130" s="270" t="n">
        <v>0</v>
      </c>
      <c r="F130" s="271" t="n"/>
      <c r="G130" s="272" t="n"/>
      <c r="H130" s="273" t="n"/>
      <c r="I130" s="270" t="n"/>
      <c r="J130" s="268" t="n">
        <v>4000</v>
      </c>
      <c r="K130" s="269" t="n">
        <v>0</v>
      </c>
      <c r="L130" s="270" t="n">
        <v>0</v>
      </c>
      <c r="M130" s="271" t="n"/>
      <c r="N130" s="272" t="n"/>
      <c r="O130" s="273" t="n"/>
      <c r="P130" s="270" t="n"/>
      <c r="Q130" s="268" t="n">
        <v>8000</v>
      </c>
      <c r="R130" s="269" t="n">
        <v>0</v>
      </c>
      <c r="S130" s="270" t="n">
        <v>0</v>
      </c>
      <c r="T130" s="271" t="n"/>
      <c r="U130" s="272" t="n"/>
      <c r="V130" s="273" t="n"/>
      <c r="W130" s="270" t="n"/>
      <c r="X130" s="268" t="n">
        <v>0</v>
      </c>
      <c r="Y130" s="269" t="n">
        <v>0</v>
      </c>
      <c r="Z130" s="270" t="n">
        <v>0</v>
      </c>
      <c r="AA130" s="271" t="n"/>
      <c r="AB130" s="272" t="n"/>
      <c r="AC130" s="273" t="n"/>
      <c r="AD130" s="270" t="n"/>
      <c r="AE130" s="268" t="n">
        <v>0</v>
      </c>
      <c r="AF130" s="269" t="n">
        <v>0</v>
      </c>
      <c r="AG130" s="270" t="n">
        <v>0</v>
      </c>
      <c r="AH130" s="271" t="n"/>
      <c r="AI130" s="272" t="n"/>
      <c r="AJ130" s="273" t="n"/>
      <c r="AK130" s="270" t="n"/>
    </row>
    <row r="131" outlineLevel="1" s="180">
      <c r="A131" s="288" t="inlineStr">
        <is>
          <t>Industry dissemination workshop with Australian organisations and partners
End-of-project workshop to present the prototype, evaluation results, and practical guidance for privacy-preserving AI auditing to Australian industry and public-sector organisations. Budget covers venue and hybrid delivery support, workshop catering, materials, and event support.</t>
        </is>
      </c>
      <c r="B131" s="171" t="n"/>
      <c r="C131" s="274" t="n"/>
      <c r="D131" s="275" t="n"/>
      <c r="E131" s="276" t="n"/>
      <c r="F131" s="277" t="n"/>
      <c r="G131" s="278" t="n"/>
      <c r="H131" s="279" t="n"/>
      <c r="I131" s="276" t="n"/>
      <c r="J131" s="274" t="n"/>
      <c r="K131" s="275" t="n"/>
      <c r="L131" s="276" t="n"/>
      <c r="M131" s="277" t="n"/>
      <c r="N131" s="278" t="n"/>
      <c r="O131" s="279" t="n"/>
      <c r="P131" s="276" t="n"/>
      <c r="Q131" s="274" t="n">
        <v>4000</v>
      </c>
      <c r="R131" s="275" t="n"/>
      <c r="S131" s="276" t="n"/>
      <c r="T131" s="277" t="n"/>
      <c r="U131" s="278" t="n"/>
      <c r="V131" s="279" t="n"/>
      <c r="W131" s="276" t="n"/>
      <c r="X131" s="274" t="n"/>
      <c r="Y131" s="275" t="n"/>
      <c r="Z131" s="276" t="n"/>
      <c r="AA131" s="277" t="n"/>
      <c r="AB131" s="278" t="n"/>
      <c r="AC131" s="279" t="n"/>
      <c r="AD131" s="276" t="n"/>
      <c r="AE131" s="274" t="n"/>
      <c r="AF131" s="275" t="n"/>
      <c r="AG131" s="276" t="n"/>
      <c r="AH131" s="277" t="n"/>
      <c r="AI131" s="278" t="n"/>
      <c r="AJ131" s="279" t="n"/>
      <c r="AK131" s="276" t="n"/>
    </row>
    <row r="132" outlineLevel="1" s="180">
      <c r="A132" s="321" t="inlineStr">
        <is>
          <t>Postdoctoral researcher laptop and setup
University in-kind support for one project laptop and standard setup for the postdoctoral researcher at project commencement, to support secure development, experimental evaluation, code management, and prototype work across RT1--RT3.</t>
        </is>
      </c>
      <c r="B132" s="322" t="n"/>
      <c r="C132" s="323" t="n"/>
      <c r="D132" s="324" t="n"/>
      <c r="E132" s="325" t="n">
        <v>3000</v>
      </c>
      <c r="F132" s="326" t="n"/>
      <c r="G132" s="327" t="n"/>
      <c r="H132" s="328" t="n"/>
      <c r="I132" s="325" t="n"/>
      <c r="J132" s="323" t="n"/>
      <c r="K132" s="324" t="n"/>
      <c r="L132" s="325" t="n"/>
      <c r="M132" s="326" t="n"/>
      <c r="N132" s="327" t="n"/>
      <c r="O132" s="328" t="n"/>
      <c r="P132" s="325" t="n"/>
      <c r="Q132" s="323" t="n"/>
      <c r="R132" s="324" t="n"/>
      <c r="S132" s="325" t="n"/>
      <c r="T132" s="326" t="n"/>
      <c r="U132" s="327" t="n"/>
      <c r="V132" s="279" t="n"/>
      <c r="W132" s="276" t="n"/>
      <c r="X132" s="274" t="n"/>
      <c r="Y132" s="275" t="n"/>
      <c r="Z132" s="276" t="n"/>
      <c r="AA132" s="277" t="n"/>
      <c r="AB132" s="278" t="n"/>
      <c r="AC132" s="279" t="n"/>
      <c r="AD132" s="276" t="n"/>
      <c r="AE132" s="274" t="n"/>
      <c r="AF132" s="275" t="n"/>
      <c r="AG132" s="276" t="n"/>
      <c r="AH132" s="277" t="n"/>
      <c r="AI132" s="278" t="n"/>
      <c r="AJ132" s="279" t="n"/>
      <c r="AK132" s="276" t="n"/>
    </row>
    <row r="133" outlineLevel="1" s="180">
      <c r="A133" s="321" t="inlineStr">
        <is>
          <t>HDR candidate laptop and setup
University in-kind support for one project laptop and standard setup for the HDR candidate at project commencement, to support implementation, benchmarking, reproducibility studies, and writing across RT1--RT3.</t>
        </is>
      </c>
      <c r="B133" s="322" t="n"/>
      <c r="C133" s="323" t="n"/>
      <c r="D133" s="324" t="n"/>
      <c r="E133" s="325" t="n">
        <v>3000</v>
      </c>
      <c r="F133" s="326" t="n"/>
      <c r="G133" s="327" t="n"/>
      <c r="H133" s="328" t="n"/>
      <c r="I133" s="325" t="n"/>
      <c r="J133" s="323" t="n"/>
      <c r="K133" s="324" t="n"/>
      <c r="L133" s="325" t="n"/>
      <c r="M133" s="326" t="n"/>
      <c r="N133" s="327" t="n"/>
      <c r="O133" s="328" t="n"/>
      <c r="P133" s="325" t="n"/>
      <c r="Q133" s="323" t="n"/>
      <c r="R133" s="324" t="n"/>
      <c r="S133" s="325" t="n"/>
      <c r="T133" s="326" t="n"/>
      <c r="U133" s="327" t="n"/>
      <c r="V133" s="279" t="n"/>
      <c r="W133" s="276" t="n"/>
      <c r="X133" s="274" t="n"/>
      <c r="Y133" s="275" t="n"/>
      <c r="Z133" s="276" t="n"/>
      <c r="AA133" s="277" t="n"/>
      <c r="AB133" s="278" t="n"/>
      <c r="AC133" s="279" t="n"/>
      <c r="AD133" s="276" t="n"/>
      <c r="AE133" s="274" t="n"/>
      <c r="AF133" s="275" t="n"/>
      <c r="AG133" s="276" t="n"/>
      <c r="AH133" s="277" t="n"/>
      <c r="AI133" s="278" t="n"/>
      <c r="AJ133" s="279" t="n"/>
      <c r="AK133" s="276" t="n"/>
    </row>
    <row r="134" outlineLevel="1" s="180">
      <c r="A134" s="321" t="inlineStr">
        <is>
          <t>FEIT HDR conference-travel support for domestic dissemination
University cash support of up to $2,000 through the standard FEIT Conference Travel Grant for one domestic HDR dissemination trip in Year 2 to present accepted work at a relevant conference or workshop hosted by a peer Australian university.</t>
        </is>
      </c>
      <c r="B134" s="322" t="n"/>
      <c r="C134" s="323" t="n"/>
      <c r="D134" s="324" t="n"/>
      <c r="E134" s="325" t="n"/>
      <c r="F134" s="326" t="n"/>
      <c r="G134" s="327" t="n"/>
      <c r="H134" s="328" t="n"/>
      <c r="I134" s="325" t="n"/>
      <c r="J134" s="323" t="n"/>
      <c r="K134" s="324" t="n">
        <v>2000</v>
      </c>
      <c r="L134" s="325" t="n"/>
      <c r="M134" s="326" t="n"/>
      <c r="N134" s="327" t="n"/>
      <c r="O134" s="328" t="n"/>
      <c r="P134" s="325" t="n"/>
      <c r="Q134" s="323" t="n"/>
      <c r="R134" s="324" t="n"/>
      <c r="S134" s="325" t="n"/>
      <c r="T134" s="326" t="n"/>
      <c r="U134" s="327" t="n"/>
      <c r="V134" s="279" t="n"/>
      <c r="W134" s="276" t="n"/>
      <c r="X134" s="274" t="n"/>
      <c r="Y134" s="275" t="n"/>
      <c r="Z134" s="276" t="n"/>
      <c r="AA134" s="277" t="n"/>
      <c r="AB134" s="278" t="n"/>
      <c r="AC134" s="279" t="n"/>
      <c r="AD134" s="276" t="n"/>
      <c r="AE134" s="274" t="n"/>
      <c r="AF134" s="275" t="n"/>
      <c r="AG134" s="276" t="n"/>
      <c r="AH134" s="277" t="n"/>
      <c r="AI134" s="278" t="n"/>
      <c r="AJ134" s="279" t="n"/>
      <c r="AK134" s="276" t="n"/>
    </row>
    <row r="135" outlineLevel="1" s="180">
      <c r="A135" s="288" t="n"/>
      <c r="B135" s="171" t="n"/>
      <c r="C135" s="274" t="n"/>
      <c r="D135" s="275" t="n"/>
      <c r="E135" s="276" t="n"/>
      <c r="F135" s="277" t="n"/>
      <c r="G135" s="278" t="n"/>
      <c r="H135" s="279" t="n"/>
      <c r="I135" s="276" t="n"/>
      <c r="J135" s="274" t="n"/>
      <c r="K135" s="275" t="n"/>
      <c r="L135" s="276" t="n"/>
      <c r="M135" s="277" t="n"/>
      <c r="N135" s="278" t="n"/>
      <c r="O135" s="279" t="n"/>
      <c r="P135" s="276" t="n"/>
      <c r="Q135" s="274" t="n"/>
      <c r="R135" s="275" t="n"/>
      <c r="S135" s="276" t="n"/>
      <c r="T135" s="277" t="n"/>
      <c r="U135" s="278" t="n"/>
      <c r="V135" s="279" t="n"/>
      <c r="W135" s="276" t="n"/>
      <c r="X135" s="274" t="n"/>
      <c r="Y135" s="275" t="n"/>
      <c r="Z135" s="276" t="n"/>
      <c r="AA135" s="277" t="n"/>
      <c r="AB135" s="278" t="n"/>
      <c r="AC135" s="279" t="n"/>
      <c r="AD135" s="276" t="n"/>
      <c r="AE135" s="274" t="n"/>
      <c r="AF135" s="275" t="n"/>
      <c r="AG135" s="276" t="n"/>
      <c r="AH135" s="277" t="n"/>
      <c r="AI135" s="278" t="n"/>
      <c r="AJ135" s="279" t="n"/>
      <c r="AK135" s="276" t="n"/>
    </row>
    <row r="136" outlineLevel="1" s="180">
      <c r="A136" s="288" t="n"/>
      <c r="B136" s="171" t="n"/>
      <c r="C136" s="274" t="n"/>
      <c r="D136" s="275" t="n"/>
      <c r="E136" s="276" t="n"/>
      <c r="F136" s="277" t="n"/>
      <c r="G136" s="278" t="n"/>
      <c r="H136" s="279" t="n"/>
      <c r="I136" s="276" t="n"/>
      <c r="J136" s="274" t="n"/>
      <c r="K136" s="275" t="n"/>
      <c r="L136" s="276" t="n"/>
      <c r="M136" s="277" t="n"/>
      <c r="N136" s="278" t="n"/>
      <c r="O136" s="279" t="n"/>
      <c r="P136" s="276" t="n"/>
      <c r="Q136" s="274" t="n"/>
      <c r="R136" s="275" t="n"/>
      <c r="S136" s="276" t="n"/>
      <c r="T136" s="277" t="n"/>
      <c r="U136" s="278" t="n"/>
      <c r="V136" s="279" t="n"/>
      <c r="W136" s="276" t="n"/>
      <c r="X136" s="274" t="n"/>
      <c r="Y136" s="275" t="n"/>
      <c r="Z136" s="276" t="n"/>
      <c r="AA136" s="277" t="n"/>
      <c r="AB136" s="278" t="n"/>
      <c r="AC136" s="279" t="n"/>
      <c r="AD136" s="276" t="n"/>
      <c r="AE136" s="274" t="n"/>
      <c r="AF136" s="275" t="n"/>
      <c r="AG136" s="276" t="n"/>
      <c r="AH136" s="277" t="n"/>
      <c r="AI136" s="278" t="n"/>
      <c r="AJ136" s="279" t="n"/>
      <c r="AK136" s="276" t="n"/>
    </row>
    <row r="137" outlineLevel="1" s="180">
      <c r="A137" s="288" t="n"/>
      <c r="B137" s="171" t="n"/>
      <c r="C137" s="274" t="n"/>
      <c r="D137" s="275" t="n"/>
      <c r="E137" s="276" t="n"/>
      <c r="F137" s="277" t="n"/>
      <c r="G137" s="278" t="n"/>
      <c r="H137" s="279" t="n"/>
      <c r="I137" s="276" t="n"/>
      <c r="J137" s="274" t="n"/>
      <c r="K137" s="275" t="n"/>
      <c r="L137" s="276" t="n"/>
      <c r="M137" s="277" t="n"/>
      <c r="N137" s="278" t="n"/>
      <c r="O137" s="279" t="n"/>
      <c r="P137" s="276" t="n"/>
      <c r="Q137" s="274" t="n"/>
      <c r="R137" s="275" t="n"/>
      <c r="S137" s="276" t="n"/>
      <c r="T137" s="277" t="n"/>
      <c r="U137" s="278" t="n"/>
      <c r="V137" s="279" t="n"/>
      <c r="W137" s="276" t="n"/>
      <c r="X137" s="274" t="n"/>
      <c r="Y137" s="275" t="n"/>
      <c r="Z137" s="276" t="n"/>
      <c r="AA137" s="277" t="n"/>
      <c r="AB137" s="278" t="n"/>
      <c r="AC137" s="279" t="n"/>
      <c r="AD137" s="276" t="n"/>
      <c r="AE137" s="274" t="n"/>
      <c r="AF137" s="275" t="n"/>
      <c r="AG137" s="276" t="n"/>
      <c r="AH137" s="277" t="n"/>
      <c r="AI137" s="278" t="n"/>
      <c r="AJ137" s="279" t="n"/>
      <c r="AK137" s="276" t="n"/>
    </row>
    <row r="138" outlineLevel="1" s="180">
      <c r="A138" s="288" t="n"/>
      <c r="B138" s="171" t="n"/>
      <c r="C138" s="274" t="n"/>
      <c r="D138" s="275" t="n"/>
      <c r="E138" s="276" t="n"/>
      <c r="F138" s="277" t="n"/>
      <c r="G138" s="278" t="n"/>
      <c r="H138" s="279" t="n"/>
      <c r="I138" s="276" t="n"/>
      <c r="J138" s="274" t="n"/>
      <c r="K138" s="275" t="n"/>
      <c r="L138" s="276" t="n"/>
      <c r="M138" s="277" t="n"/>
      <c r="N138" s="278" t="n"/>
      <c r="O138" s="279" t="n"/>
      <c r="P138" s="276" t="n"/>
      <c r="Q138" s="274" t="n"/>
      <c r="R138" s="275" t="n"/>
      <c r="S138" s="276" t="n"/>
      <c r="T138" s="277" t="n"/>
      <c r="U138" s="278" t="n"/>
      <c r="V138" s="279" t="n"/>
      <c r="W138" s="276" t="n"/>
      <c r="X138" s="274" t="n"/>
      <c r="Y138" s="275" t="n"/>
      <c r="Z138" s="276" t="n"/>
      <c r="AA138" s="277" t="n"/>
      <c r="AB138" s="278" t="n"/>
      <c r="AC138" s="279" t="n"/>
      <c r="AD138" s="276" t="n"/>
      <c r="AE138" s="274" t="n"/>
      <c r="AF138" s="275" t="n"/>
      <c r="AG138" s="276" t="n"/>
      <c r="AH138" s="277" t="n"/>
      <c r="AI138" s="278" t="n"/>
      <c r="AJ138" s="279" t="n"/>
      <c r="AK138" s="276" t="n"/>
    </row>
    <row r="139" outlineLevel="1" s="180">
      <c r="A139" s="288" t="n"/>
      <c r="B139" s="171" t="n"/>
      <c r="C139" s="274" t="n"/>
      <c r="D139" s="275" t="n"/>
      <c r="E139" s="276" t="n"/>
      <c r="F139" s="277" t="n"/>
      <c r="G139" s="278" t="n"/>
      <c r="H139" s="279" t="n"/>
      <c r="I139" s="276" t="n"/>
      <c r="J139" s="274" t="n"/>
      <c r="K139" s="275" t="n"/>
      <c r="L139" s="276" t="n"/>
      <c r="M139" s="277" t="n"/>
      <c r="N139" s="278" t="n"/>
      <c r="O139" s="279" t="n"/>
      <c r="P139" s="276" t="n"/>
      <c r="Q139" s="274" t="n"/>
      <c r="R139" s="275" t="n"/>
      <c r="S139" s="276" t="n"/>
      <c r="T139" s="277" t="n"/>
      <c r="U139" s="278" t="n"/>
      <c r="V139" s="279" t="n"/>
      <c r="W139" s="276" t="n"/>
      <c r="X139" s="274" t="n"/>
      <c r="Y139" s="275" t="n"/>
      <c r="Z139" s="276" t="n"/>
      <c r="AA139" s="277" t="n"/>
      <c r="AB139" s="278" t="n"/>
      <c r="AC139" s="279" t="n"/>
      <c r="AD139" s="276" t="n"/>
      <c r="AE139" s="274" t="n"/>
      <c r="AF139" s="275" t="n"/>
      <c r="AG139" s="276" t="n"/>
      <c r="AH139" s="277" t="n"/>
      <c r="AI139" s="278" t="n"/>
      <c r="AJ139" s="279" t="n"/>
      <c r="AK139" s="276" t="n"/>
    </row>
    <row r="140" outlineLevel="1" s="180">
      <c r="A140" s="288" t="n"/>
      <c r="B140" s="171" t="n"/>
      <c r="C140" s="274" t="n"/>
      <c r="D140" s="275" t="n"/>
      <c r="E140" s="276" t="n"/>
      <c r="F140" s="277" t="n"/>
      <c r="G140" s="278" t="n"/>
      <c r="H140" s="279" t="n"/>
      <c r="I140" s="276" t="n"/>
      <c r="J140" s="274" t="n"/>
      <c r="K140" s="275" t="n"/>
      <c r="L140" s="276" t="n"/>
      <c r="M140" s="277" t="n"/>
      <c r="N140" s="278" t="n"/>
      <c r="O140" s="279" t="n"/>
      <c r="P140" s="276" t="n"/>
      <c r="Q140" s="274" t="n"/>
      <c r="R140" s="275" t="n"/>
      <c r="S140" s="276" t="n"/>
      <c r="T140" s="277" t="n"/>
      <c r="U140" s="278" t="n"/>
      <c r="V140" s="279" t="n"/>
      <c r="W140" s="276" t="n"/>
      <c r="X140" s="274" t="n"/>
      <c r="Y140" s="275" t="n"/>
      <c r="Z140" s="276" t="n"/>
      <c r="AA140" s="277" t="n"/>
      <c r="AB140" s="278" t="n"/>
      <c r="AC140" s="279" t="n"/>
      <c r="AD140" s="276" t="n"/>
      <c r="AE140" s="274" t="n"/>
      <c r="AF140" s="275" t="n"/>
      <c r="AG140" s="276" t="n"/>
      <c r="AH140" s="277" t="n"/>
      <c r="AI140" s="278" t="n"/>
      <c r="AJ140" s="279" t="n"/>
      <c r="AK140" s="276" t="n"/>
    </row>
    <row r="141" outlineLevel="1" s="180">
      <c r="A141" s="288" t="n"/>
      <c r="B141" s="171" t="n"/>
      <c r="C141" s="274" t="n"/>
      <c r="D141" s="275" t="n"/>
      <c r="E141" s="276" t="n"/>
      <c r="F141" s="277" t="n"/>
      <c r="G141" s="278" t="n"/>
      <c r="H141" s="279" t="n"/>
      <c r="I141" s="276" t="n"/>
      <c r="J141" s="274" t="n"/>
      <c r="K141" s="275" t="n"/>
      <c r="L141" s="276" t="n"/>
      <c r="M141" s="277" t="n"/>
      <c r="N141" s="278" t="n"/>
      <c r="O141" s="279" t="n"/>
      <c r="P141" s="276" t="n"/>
      <c r="Q141" s="274" t="n"/>
      <c r="R141" s="275" t="n"/>
      <c r="S141" s="276" t="n"/>
      <c r="T141" s="277" t="n"/>
      <c r="U141" s="278" t="n"/>
      <c r="V141" s="279" t="n"/>
      <c r="W141" s="276" t="n"/>
      <c r="X141" s="274" t="n"/>
      <c r="Y141" s="275" t="n"/>
      <c r="Z141" s="276" t="n"/>
      <c r="AA141" s="277" t="n"/>
      <c r="AB141" s="278" t="n"/>
      <c r="AC141" s="279" t="n"/>
      <c r="AD141" s="276" t="n"/>
      <c r="AE141" s="274" t="n"/>
      <c r="AF141" s="275" t="n"/>
      <c r="AG141" s="276" t="n"/>
      <c r="AH141" s="277" t="n"/>
      <c r="AI141" s="278" t="n"/>
      <c r="AJ141" s="279" t="n"/>
      <c r="AK141" s="276" t="n"/>
    </row>
    <row r="142" outlineLevel="1" s="180">
      <c r="A142" s="288" t="n"/>
      <c r="B142" s="171" t="n"/>
      <c r="C142" s="274" t="n"/>
      <c r="D142" s="275" t="n"/>
      <c r="E142" s="276" t="n"/>
      <c r="F142" s="277" t="n"/>
      <c r="G142" s="278" t="n"/>
      <c r="H142" s="279" t="n"/>
      <c r="I142" s="276" t="n"/>
      <c r="J142" s="274" t="n"/>
      <c r="K142" s="275" t="n"/>
      <c r="L142" s="276" t="n"/>
      <c r="M142" s="277" t="n"/>
      <c r="N142" s="278" t="n"/>
      <c r="O142" s="279" t="n"/>
      <c r="P142" s="276" t="n"/>
      <c r="Q142" s="274" t="n"/>
      <c r="R142" s="275" t="n"/>
      <c r="S142" s="276" t="n"/>
      <c r="T142" s="277" t="n"/>
      <c r="U142" s="278" t="n"/>
      <c r="V142" s="279" t="n"/>
      <c r="W142" s="276" t="n"/>
      <c r="X142" s="274" t="n"/>
      <c r="Y142" s="275" t="n"/>
      <c r="Z142" s="276" t="n"/>
      <c r="AA142" s="277" t="n"/>
      <c r="AB142" s="278" t="n"/>
      <c r="AC142" s="279" t="n"/>
      <c r="AD142" s="276" t="n"/>
      <c r="AE142" s="274" t="n"/>
      <c r="AF142" s="275" t="n"/>
      <c r="AG142" s="276" t="n"/>
      <c r="AH142" s="277" t="n"/>
      <c r="AI142" s="278" t="n"/>
      <c r="AJ142" s="279" t="n"/>
      <c r="AK142" s="276" t="n"/>
    </row>
    <row r="143" outlineLevel="1" s="180">
      <c r="A143" s="288" t="n"/>
      <c r="B143" s="171" t="n"/>
      <c r="C143" s="274" t="n"/>
      <c r="D143" s="275" t="n"/>
      <c r="E143" s="276" t="n"/>
      <c r="F143" s="277" t="n"/>
      <c r="G143" s="278" t="n"/>
      <c r="H143" s="279" t="n"/>
      <c r="I143" s="276" t="n"/>
      <c r="J143" s="274" t="n"/>
      <c r="K143" s="275" t="n"/>
      <c r="L143" s="276" t="n"/>
      <c r="M143" s="277" t="n"/>
      <c r="N143" s="278" t="n"/>
      <c r="O143" s="279" t="n"/>
      <c r="P143" s="276" t="n"/>
      <c r="Q143" s="274" t="n"/>
      <c r="R143" s="275" t="n"/>
      <c r="S143" s="276" t="n"/>
      <c r="T143" s="277" t="n"/>
      <c r="U143" s="278" t="n"/>
      <c r="V143" s="279" t="n"/>
      <c r="W143" s="276" t="n"/>
      <c r="X143" s="274" t="n"/>
      <c r="Y143" s="275" t="n"/>
      <c r="Z143" s="276" t="n"/>
      <c r="AA143" s="277" t="n"/>
      <c r="AB143" s="278" t="n"/>
      <c r="AC143" s="279" t="n"/>
      <c r="AD143" s="276" t="n"/>
      <c r="AE143" s="274" t="n"/>
      <c r="AF143" s="275" t="n"/>
      <c r="AG143" s="276" t="n"/>
      <c r="AH143" s="277" t="n"/>
      <c r="AI143" s="278" t="n"/>
      <c r="AJ143" s="279" t="n"/>
      <c r="AK143" s="276" t="n"/>
    </row>
    <row r="144" outlineLevel="1" s="180">
      <c r="A144" s="288" t="n"/>
      <c r="B144" s="171" t="n"/>
      <c r="C144" s="274" t="n"/>
      <c r="D144" s="275" t="n"/>
      <c r="E144" s="276" t="n"/>
      <c r="F144" s="277" t="n"/>
      <c r="G144" s="278" t="n"/>
      <c r="H144" s="279" t="n"/>
      <c r="I144" s="276" t="n"/>
      <c r="J144" s="274" t="n"/>
      <c r="K144" s="275" t="n"/>
      <c r="L144" s="276" t="n"/>
      <c r="M144" s="277" t="n"/>
      <c r="N144" s="278" t="n"/>
      <c r="O144" s="279" t="n"/>
      <c r="P144" s="276" t="n"/>
      <c r="Q144" s="274" t="n"/>
      <c r="R144" s="275" t="n"/>
      <c r="S144" s="276" t="n"/>
      <c r="T144" s="277" t="n"/>
      <c r="U144" s="278" t="n"/>
      <c r="V144" s="279" t="n"/>
      <c r="W144" s="276" t="n"/>
      <c r="X144" s="274" t="n"/>
      <c r="Y144" s="275" t="n"/>
      <c r="Z144" s="276" t="n"/>
      <c r="AA144" s="277" t="n"/>
      <c r="AB144" s="278" t="n"/>
      <c r="AC144" s="279" t="n"/>
      <c r="AD144" s="276" t="n"/>
      <c r="AE144" s="274" t="n"/>
      <c r="AF144" s="275" t="n"/>
      <c r="AG144" s="276" t="n"/>
      <c r="AH144" s="277" t="n"/>
      <c r="AI144" s="278" t="n"/>
      <c r="AJ144" s="279" t="n"/>
      <c r="AK144" s="276" t="n"/>
    </row>
    <row r="145" outlineLevel="1" s="180">
      <c r="A145" s="288" t="n"/>
      <c r="B145" s="171" t="n"/>
      <c r="C145" s="274" t="n"/>
      <c r="D145" s="275" t="n"/>
      <c r="E145" s="276" t="n"/>
      <c r="F145" s="277" t="n"/>
      <c r="G145" s="278" t="n"/>
      <c r="H145" s="279" t="n"/>
      <c r="I145" s="276" t="n"/>
      <c r="J145" s="274" t="n"/>
      <c r="K145" s="275" t="n"/>
      <c r="L145" s="276" t="n"/>
      <c r="M145" s="277" t="n"/>
      <c r="N145" s="278" t="n"/>
      <c r="O145" s="279" t="n"/>
      <c r="P145" s="276" t="n"/>
      <c r="Q145" s="274" t="n"/>
      <c r="R145" s="275" t="n"/>
      <c r="S145" s="276" t="n"/>
      <c r="T145" s="277" t="n"/>
      <c r="U145" s="278" t="n"/>
      <c r="V145" s="279" t="n"/>
      <c r="W145" s="276" t="n"/>
      <c r="X145" s="274" t="n"/>
      <c r="Y145" s="275" t="n"/>
      <c r="Z145" s="276" t="n"/>
      <c r="AA145" s="277" t="n"/>
      <c r="AB145" s="278" t="n"/>
      <c r="AC145" s="279" t="n"/>
      <c r="AD145" s="276" t="n"/>
      <c r="AE145" s="274" t="n"/>
      <c r="AF145" s="275" t="n"/>
      <c r="AG145" s="276" t="n"/>
      <c r="AH145" s="277" t="n"/>
      <c r="AI145" s="278" t="n"/>
      <c r="AJ145" s="279" t="n"/>
      <c r="AK145" s="276" t="n"/>
    </row>
    <row r="146" outlineLevel="1" s="180">
      <c r="A146" s="288" t="n"/>
      <c r="B146" s="171" t="n"/>
      <c r="C146" s="274" t="n"/>
      <c r="D146" s="275" t="n"/>
      <c r="E146" s="276" t="n"/>
      <c r="F146" s="277" t="n"/>
      <c r="G146" s="278" t="n"/>
      <c r="H146" s="279" t="n"/>
      <c r="I146" s="276" t="n"/>
      <c r="J146" s="274" t="n"/>
      <c r="K146" s="275" t="n"/>
      <c r="L146" s="276" t="n"/>
      <c r="M146" s="277" t="n"/>
      <c r="N146" s="278" t="n"/>
      <c r="O146" s="279" t="n"/>
      <c r="P146" s="276" t="n"/>
      <c r="Q146" s="274" t="n"/>
      <c r="R146" s="275" t="n"/>
      <c r="S146" s="276" t="n"/>
      <c r="T146" s="277" t="n"/>
      <c r="U146" s="278" t="n"/>
      <c r="V146" s="279" t="n"/>
      <c r="W146" s="276" t="n"/>
      <c r="X146" s="274" t="n"/>
      <c r="Y146" s="275" t="n"/>
      <c r="Z146" s="276" t="n"/>
      <c r="AA146" s="277" t="n"/>
      <c r="AB146" s="278" t="n"/>
      <c r="AC146" s="279" t="n"/>
      <c r="AD146" s="276" t="n"/>
      <c r="AE146" s="274" t="n"/>
      <c r="AF146" s="275" t="n"/>
      <c r="AG146" s="276" t="n"/>
      <c r="AH146" s="277" t="n"/>
      <c r="AI146" s="278" t="n"/>
      <c r="AJ146" s="279" t="n"/>
      <c r="AK146" s="276" t="n"/>
    </row>
    <row r="147" outlineLevel="1" s="180">
      <c r="A147" s="288" t="n"/>
      <c r="B147" s="171" t="n"/>
      <c r="C147" s="274" t="n"/>
      <c r="D147" s="275" t="n"/>
      <c r="E147" s="276" t="n"/>
      <c r="F147" s="277" t="n"/>
      <c r="G147" s="278" t="n"/>
      <c r="H147" s="279" t="n"/>
      <c r="I147" s="276" t="n"/>
      <c r="J147" s="274" t="n"/>
      <c r="K147" s="275" t="n"/>
      <c r="L147" s="276" t="n"/>
      <c r="M147" s="277" t="n"/>
      <c r="N147" s="278" t="n"/>
      <c r="O147" s="279" t="n"/>
      <c r="P147" s="276" t="n"/>
      <c r="Q147" s="274" t="n"/>
      <c r="R147" s="275" t="n"/>
      <c r="S147" s="276" t="n"/>
      <c r="T147" s="277" t="n"/>
      <c r="U147" s="278" t="n"/>
      <c r="V147" s="279" t="n"/>
      <c r="W147" s="276" t="n"/>
      <c r="X147" s="274" t="n"/>
      <c r="Y147" s="275" t="n"/>
      <c r="Z147" s="276" t="n"/>
      <c r="AA147" s="277" t="n"/>
      <c r="AB147" s="278" t="n"/>
      <c r="AC147" s="279" t="n"/>
      <c r="AD147" s="276" t="n"/>
      <c r="AE147" s="274" t="n"/>
      <c r="AF147" s="275" t="n"/>
      <c r="AG147" s="276" t="n"/>
      <c r="AH147" s="277" t="n"/>
      <c r="AI147" s="278" t="n"/>
      <c r="AJ147" s="279" t="n"/>
      <c r="AK147" s="276" t="n"/>
    </row>
    <row r="148" outlineLevel="1" s="180">
      <c r="A148" s="288" t="n"/>
      <c r="B148" s="171" t="n"/>
      <c r="C148" s="274" t="n"/>
      <c r="D148" s="275" t="n"/>
      <c r="E148" s="276" t="n"/>
      <c r="F148" s="277" t="n"/>
      <c r="G148" s="278" t="n"/>
      <c r="H148" s="279" t="n"/>
      <c r="I148" s="276" t="n"/>
      <c r="J148" s="274" t="n"/>
      <c r="K148" s="275" t="n"/>
      <c r="L148" s="276" t="n"/>
      <c r="M148" s="277" t="n"/>
      <c r="N148" s="278" t="n"/>
      <c r="O148" s="279" t="n"/>
      <c r="P148" s="276" t="n"/>
      <c r="Q148" s="274" t="n"/>
      <c r="R148" s="275" t="n"/>
      <c r="S148" s="276" t="n"/>
      <c r="T148" s="277" t="n"/>
      <c r="U148" s="278" t="n"/>
      <c r="V148" s="279" t="n"/>
      <c r="W148" s="276" t="n"/>
      <c r="X148" s="274" t="n"/>
      <c r="Y148" s="275" t="n"/>
      <c r="Z148" s="276" t="n"/>
      <c r="AA148" s="277" t="n"/>
      <c r="AB148" s="278" t="n"/>
      <c r="AC148" s="279" t="n"/>
      <c r="AD148" s="276" t="n"/>
      <c r="AE148" s="274" t="n"/>
      <c r="AF148" s="275" t="n"/>
      <c r="AG148" s="276" t="n"/>
      <c r="AH148" s="277" t="n"/>
      <c r="AI148" s="278" t="n"/>
      <c r="AJ148" s="279" t="n"/>
      <c r="AK148" s="276" t="n"/>
    </row>
    <row r="149" outlineLevel="1" ht="15" customHeight="1" s="180" thickBot="1">
      <c r="A149" s="289" t="n"/>
      <c r="B149" s="173" t="n"/>
      <c r="C149" s="290" t="n"/>
      <c r="D149" s="291" t="n"/>
      <c r="E149" s="292" t="n"/>
      <c r="F149" s="293" t="n"/>
      <c r="G149" s="294" t="n"/>
      <c r="H149" s="295" t="n"/>
      <c r="I149" s="292" t="n"/>
      <c r="J149" s="290" t="n"/>
      <c r="K149" s="291" t="n"/>
      <c r="L149" s="292" t="n"/>
      <c r="M149" s="293" t="n"/>
      <c r="N149" s="294" t="n"/>
      <c r="O149" s="295" t="n"/>
      <c r="P149" s="292" t="n"/>
      <c r="Q149" s="290" t="n"/>
      <c r="R149" s="291" t="n"/>
      <c r="S149" s="292" t="n"/>
      <c r="T149" s="293" t="n"/>
      <c r="U149" s="294" t="n"/>
      <c r="V149" s="295" t="n"/>
      <c r="W149" s="292" t="n"/>
      <c r="X149" s="290" t="n"/>
      <c r="Y149" s="291" t="n"/>
      <c r="Z149" s="292" t="n"/>
      <c r="AA149" s="293" t="n"/>
      <c r="AB149" s="294" t="n"/>
      <c r="AC149" s="295" t="n"/>
      <c r="AD149" s="292" t="n"/>
      <c r="AE149" s="290" t="n"/>
      <c r="AF149" s="291" t="n"/>
      <c r="AG149" s="292" t="n"/>
      <c r="AH149" s="293" t="n"/>
      <c r="AI149" s="294" t="n"/>
      <c r="AJ149" s="295" t="n"/>
      <c r="AK149" s="292" t="n"/>
    </row>
    <row r="1048576">
      <c r="A1048576" s="183" t="n"/>
      <c r="B1048576" s="171" t="n"/>
    </row>
  </sheetData>
  <mergeCells count="160">
    <mergeCell ref="Q9:W9"/>
    <mergeCell ref="A15:B15"/>
    <mergeCell ref="A64:B64"/>
    <mergeCell ref="A98:B98"/>
    <mergeCell ref="A73:B73"/>
    <mergeCell ref="H10:I10"/>
    <mergeCell ref="A51:B51"/>
    <mergeCell ref="A107:B107"/>
    <mergeCell ref="AE9:AK9"/>
    <mergeCell ref="A88:B88"/>
    <mergeCell ref="A70:B70"/>
    <mergeCell ref="A54:B54"/>
    <mergeCell ref="A41:B41"/>
    <mergeCell ref="A90:B90"/>
    <mergeCell ref="M10:N10"/>
    <mergeCell ref="A99:B99"/>
    <mergeCell ref="A10:B11"/>
    <mergeCell ref="Y10:Z10"/>
    <mergeCell ref="A74:B74"/>
    <mergeCell ref="A56:B56"/>
    <mergeCell ref="A27:B27"/>
    <mergeCell ref="A101:B101"/>
    <mergeCell ref="A76:B76"/>
    <mergeCell ref="A33:B33"/>
    <mergeCell ref="AC10:AD10"/>
    <mergeCell ref="A85:B85"/>
    <mergeCell ref="A42:B42"/>
    <mergeCell ref="A17:B17"/>
    <mergeCell ref="A126:B126"/>
    <mergeCell ref="A140:B140"/>
    <mergeCell ref="A22:B22"/>
    <mergeCell ref="A53:B53"/>
    <mergeCell ref="A35:B35"/>
    <mergeCell ref="A109:B109"/>
    <mergeCell ref="A62:B62"/>
    <mergeCell ref="A19:B19"/>
    <mergeCell ref="A68:B68"/>
    <mergeCell ref="A28:B28"/>
    <mergeCell ref="A117:B117"/>
    <mergeCell ref="A111:B111"/>
    <mergeCell ref="A39:B39"/>
    <mergeCell ref="A48:B48"/>
    <mergeCell ref="A30:B30"/>
    <mergeCell ref="D10:E10"/>
    <mergeCell ref="A59:B59"/>
    <mergeCell ref="F10:G10"/>
    <mergeCell ref="A142:B142"/>
    <mergeCell ref="A103:B103"/>
    <mergeCell ref="R10:S10"/>
    <mergeCell ref="A79:B79"/>
    <mergeCell ref="A61:B61"/>
    <mergeCell ref="A87:B87"/>
    <mergeCell ref="T10:U10"/>
    <mergeCell ref="V10:W10"/>
    <mergeCell ref="A128:B128"/>
    <mergeCell ref="A137:B137"/>
    <mergeCell ref="A46:B46"/>
    <mergeCell ref="A37:B37"/>
    <mergeCell ref="AH10:AI10"/>
    <mergeCell ref="A89:B89"/>
    <mergeCell ref="AJ10:AK10"/>
    <mergeCell ref="A136:B136"/>
    <mergeCell ref="A105:B105"/>
    <mergeCell ref="A145:B145"/>
    <mergeCell ref="A26:B26"/>
    <mergeCell ref="A139:B139"/>
    <mergeCell ref="A129:B129"/>
    <mergeCell ref="A71:B71"/>
    <mergeCell ref="A116:B116"/>
    <mergeCell ref="A1048576:B1048576"/>
    <mergeCell ref="A91:B91"/>
    <mergeCell ref="A131:B131"/>
    <mergeCell ref="A100:B100"/>
    <mergeCell ref="A52:B52"/>
    <mergeCell ref="A63:B63"/>
    <mergeCell ref="K10:L10"/>
    <mergeCell ref="A115:B115"/>
    <mergeCell ref="A93:B93"/>
    <mergeCell ref="A102:B102"/>
    <mergeCell ref="A77:B77"/>
    <mergeCell ref="A34:B34"/>
    <mergeCell ref="A83:B83"/>
    <mergeCell ref="A143:B143"/>
    <mergeCell ref="A92:B92"/>
    <mergeCell ref="A49:B49"/>
    <mergeCell ref="AA10:AB10"/>
    <mergeCell ref="A36:B36"/>
    <mergeCell ref="A119:B119"/>
    <mergeCell ref="A1:B1"/>
    <mergeCell ref="A94:B94"/>
    <mergeCell ref="A69:B69"/>
    <mergeCell ref="A78:B78"/>
    <mergeCell ref="A65:B65"/>
    <mergeCell ref="AF10:AG10"/>
    <mergeCell ref="A75:B75"/>
    <mergeCell ref="A133:B133"/>
    <mergeCell ref="A80:B80"/>
    <mergeCell ref="A120:B120"/>
    <mergeCell ref="A55:B55"/>
    <mergeCell ref="A12:B12"/>
    <mergeCell ref="A21:B21"/>
    <mergeCell ref="A104:B104"/>
    <mergeCell ref="A57:B57"/>
    <mergeCell ref="A113:B113"/>
    <mergeCell ref="A32:B32"/>
    <mergeCell ref="A14:B14"/>
    <mergeCell ref="A23:B23"/>
    <mergeCell ref="A106:B106"/>
    <mergeCell ref="A38:B38"/>
    <mergeCell ref="A96:B96"/>
    <mergeCell ref="A147:B147"/>
    <mergeCell ref="C9:I9"/>
    <mergeCell ref="A43:B43"/>
    <mergeCell ref="A40:B40"/>
    <mergeCell ref="A67:B67"/>
    <mergeCell ref="A130:B130"/>
    <mergeCell ref="A24:B24"/>
    <mergeCell ref="A148:B148"/>
    <mergeCell ref="A82:B82"/>
    <mergeCell ref="A60:B60"/>
    <mergeCell ref="O10:P10"/>
    <mergeCell ref="A123:B123"/>
    <mergeCell ref="A138:B138"/>
    <mergeCell ref="A132:B132"/>
    <mergeCell ref="A110:B110"/>
    <mergeCell ref="A146:B146"/>
    <mergeCell ref="A124:B124"/>
    <mergeCell ref="A16:B16"/>
    <mergeCell ref="X9:AD9"/>
    <mergeCell ref="A25:B25"/>
    <mergeCell ref="A108:B108"/>
    <mergeCell ref="A84:B84"/>
    <mergeCell ref="A66:B66"/>
    <mergeCell ref="A118:B118"/>
    <mergeCell ref="A149:B149"/>
    <mergeCell ref="A18:B18"/>
    <mergeCell ref="A50:B50"/>
    <mergeCell ref="A86:B86"/>
    <mergeCell ref="A95:B95"/>
    <mergeCell ref="J9:P9"/>
    <mergeCell ref="A47:B47"/>
    <mergeCell ref="A141:B141"/>
    <mergeCell ref="A135:B135"/>
    <mergeCell ref="A144:B144"/>
    <mergeCell ref="A122:B122"/>
    <mergeCell ref="A97:B97"/>
    <mergeCell ref="A20:B20"/>
    <mergeCell ref="A125:B125"/>
    <mergeCell ref="A72:B72"/>
    <mergeCell ref="A29:B29"/>
    <mergeCell ref="A134:B134"/>
    <mergeCell ref="A81:B81"/>
    <mergeCell ref="A112:B112"/>
    <mergeCell ref="A121:B121"/>
    <mergeCell ref="A13:B13"/>
    <mergeCell ref="A44:B44"/>
    <mergeCell ref="A127:B127"/>
    <mergeCell ref="A31:B31"/>
    <mergeCell ref="A58:B58"/>
    <mergeCell ref="A114:B114"/>
  </mergeCells>
  <conditionalFormatting sqref="B4">
    <cfRule type="cellIs" priority="2" operator="greaterThan" dxfId="0">
      <formula>50000</formula>
    </cfRule>
  </conditionalFormatting>
  <conditionalFormatting sqref="C13">
    <cfRule type="cellIs" priority="13" operator="lessThan" dxfId="4">
      <formula>0</formula>
    </cfRule>
  </conditionalFormatting>
  <conditionalFormatting sqref="C36:C45 J36:J45 Q36:Q45 X36:X45 AE36:AE45">
    <cfRule type="cellIs" priority="1" operator="greaterThan" dxfId="0">
      <formula>50000</formula>
    </cfRule>
  </conditionalFormatting>
  <conditionalFormatting sqref="C12:AK12">
    <cfRule type="cellIs" priority="9" operator="greaterThan" dxfId="0">
      <formula>500000</formula>
    </cfRule>
  </conditionalFormatting>
  <conditionalFormatting sqref="J13">
    <cfRule type="cellIs" priority="8" operator="lessThan" dxfId="0">
      <formula>0</formula>
    </cfRule>
  </conditionalFormatting>
  <conditionalFormatting sqref="Q13">
    <cfRule type="cellIs" priority="7" operator="lessThan" dxfId="0">
      <formula>0</formula>
    </cfRule>
  </conditionalFormatting>
  <conditionalFormatting sqref="X13">
    <cfRule type="cellIs" priority="6" operator="lessThan" dxfId="0">
      <formula>0</formula>
    </cfRule>
  </conditionalFormatting>
  <conditionalFormatting sqref="AE13">
    <cfRule type="cellIs" priority="5" operator="lessThan" dxfId="4">
      <formula>0</formula>
    </cfRule>
  </conditionalFormatting>
  <pageMargins left="0.7" right="0.7" top="0.75" bottom="0.75" header="0.3" footer="0.3"/>
  <pageSetup orientation="portrait" paperSize="9"/>
  <legacyDrawing ns1:id="anysvml"/>
</worksheet>
</file>

<file path=xl/worksheets/sheet3.xml><?xml version="1.0" encoding="utf-8"?>
<worksheet xmlns="http://schemas.openxmlformats.org/spreadsheetml/2006/main">
  <sheetPr>
    <outlinePr summaryBelow="1" summaryRight="1"/>
    <pageSetUpPr/>
  </sheetPr>
  <dimension ref="A1:W1048460"/>
  <sheetViews>
    <sheetView workbookViewId="0">
      <selection activeCell="T16" sqref="T16"/>
    </sheetView>
  </sheetViews>
  <sheetFormatPr baseColWidth="8" defaultRowHeight="14.5"/>
  <cols>
    <col width="33.54296875" customWidth="1" style="180" min="1" max="1"/>
    <col width="28.54296875" customWidth="1" style="180" min="2" max="2"/>
    <col width="15.7265625" customWidth="1" style="180" min="3" max="23"/>
    <col width="13.26953125" customWidth="1" style="180" min="24" max="37"/>
  </cols>
  <sheetData>
    <row r="1" ht="122.5" customHeight="1" s="180">
      <c r="A1" s="200" t="inlineStr">
        <is>
          <t>DP27 Example Budget For Reference ONLY</t>
        </is>
      </c>
    </row>
    <row r="2" ht="12.65" customHeight="1" s="180">
      <c r="A2" t="inlineStr">
        <is>
          <t>TOTAL PERSONNEL (ARC)</t>
        </is>
      </c>
      <c r="B2" s="246">
        <f>SUM(C14,J14,Q14)</f>
        <v/>
      </c>
    </row>
    <row r="3" ht="12.65" customHeight="1" s="180">
      <c r="A3" t="inlineStr">
        <is>
          <t>TOTAL TEACHING RELIEF (ARC)</t>
        </is>
      </c>
      <c r="B3" s="246">
        <f>SUM(C21,J21,Q21)</f>
        <v/>
      </c>
    </row>
    <row r="4" ht="12.65" customHeight="1" s="180">
      <c r="A4" t="inlineStr">
        <is>
          <t>TOTAL TRAVEL (ARC)</t>
        </is>
      </c>
      <c r="B4" s="246">
        <f>SUM(C24,J24,Q24)</f>
        <v/>
      </c>
    </row>
    <row r="5" ht="12.65" customHeight="1" s="180">
      <c r="A5" t="inlineStr">
        <is>
          <t>TOTAL FIELD RESEARCH (ARC)</t>
        </is>
      </c>
      <c r="B5" s="246">
        <f>SUM(C26,J26,Q26)</f>
        <v/>
      </c>
    </row>
    <row r="6" ht="12.65" customHeight="1" s="180">
      <c r="A6" t="inlineStr">
        <is>
          <t>TOTAL EQUIPMENT (ARC)</t>
        </is>
      </c>
      <c r="B6" s="246">
        <f>SUM(C28,J28,Q28)</f>
        <v/>
      </c>
    </row>
    <row r="7" ht="12.65" customHeight="1" s="180">
      <c r="A7" t="inlineStr">
        <is>
          <t>TOTAL MAINTENANCE (ARC)</t>
        </is>
      </c>
      <c r="B7" s="246">
        <f>SUM(C30,J30,Q30)</f>
        <v/>
      </c>
    </row>
    <row r="8" ht="12.65" customHeight="1" s="180" thickBot="1">
      <c r="A8" t="inlineStr">
        <is>
          <t>TOTAL OTHER (ARC)</t>
        </is>
      </c>
      <c r="B8" s="246">
        <f>SUM(C32,J32,Q32)</f>
        <v/>
      </c>
    </row>
    <row r="9" ht="14.5" customHeight="1" s="180" thickBot="1">
      <c r="A9" s="4" t="inlineStr">
        <is>
          <t>TOTAL REQUESTED ARC FUNDING</t>
        </is>
      </c>
      <c r="B9" s="247">
        <f>SUM(B2:B8)</f>
        <v/>
      </c>
      <c r="C9" s="248" t="inlineStr">
        <is>
          <t>YEAR 1 BUDGET (2027)</t>
        </is>
      </c>
      <c r="D9" s="239" t="n"/>
      <c r="E9" s="239" t="n"/>
      <c r="F9" s="239" t="n"/>
      <c r="G9" s="239" t="n"/>
      <c r="H9" s="239" t="n"/>
      <c r="I9" s="179" t="n"/>
      <c r="J9" s="248" t="inlineStr">
        <is>
          <t>YEAR 2 BUDGET (2028)</t>
        </is>
      </c>
      <c r="K9" s="239" t="n"/>
      <c r="L9" s="239" t="n"/>
      <c r="M9" s="239" t="n"/>
      <c r="N9" s="239" t="n"/>
      <c r="O9" s="239" t="n"/>
      <c r="P9" s="179" t="n"/>
      <c r="Q9" s="248" t="inlineStr">
        <is>
          <t>YEAR 3 BUDGET (2029)</t>
        </is>
      </c>
      <c r="R9" s="239" t="n"/>
      <c r="S9" s="239" t="n"/>
      <c r="T9" s="239" t="n"/>
      <c r="U9" s="239" t="n"/>
      <c r="V9" s="239" t="n"/>
      <c r="W9" s="179" t="n"/>
    </row>
    <row r="10" ht="14.5" customHeight="1" s="180">
      <c r="A10" s="249" t="inlineStr">
        <is>
          <t xml:space="preserve">Description </t>
        </is>
      </c>
      <c r="B10" s="179" t="n"/>
      <c r="C10" s="194" t="inlineStr">
        <is>
          <t>ARC</t>
        </is>
      </c>
      <c r="D10" s="250" t="inlineStr">
        <is>
          <t>Admin Org</t>
        </is>
      </c>
      <c r="E10" s="251" t="n"/>
      <c r="F10" s="250" t="inlineStr">
        <is>
          <t>Other Eligible Org</t>
        </is>
      </c>
      <c r="G10" s="251" t="n"/>
      <c r="H10" s="182" t="inlineStr">
        <is>
          <t>Other Org</t>
        </is>
      </c>
      <c r="I10" s="251" t="n"/>
      <c r="J10" s="194" t="inlineStr">
        <is>
          <t>ARC</t>
        </is>
      </c>
      <c r="K10" s="250" t="inlineStr">
        <is>
          <t>Admin Org</t>
        </is>
      </c>
      <c r="L10" s="251" t="n"/>
      <c r="M10" s="250" t="inlineStr">
        <is>
          <t>Other Eligible Org</t>
        </is>
      </c>
      <c r="N10" s="251" t="n"/>
      <c r="O10" s="182" t="inlineStr">
        <is>
          <t>Other Org</t>
        </is>
      </c>
      <c r="P10" s="251" t="n"/>
      <c r="Q10" s="194" t="inlineStr">
        <is>
          <t>ARC</t>
        </is>
      </c>
      <c r="R10" s="250" t="inlineStr">
        <is>
          <t>Admin Org</t>
        </is>
      </c>
      <c r="S10" s="251" t="n"/>
      <c r="T10" s="250" t="inlineStr">
        <is>
          <t>Other Eligible Org</t>
        </is>
      </c>
      <c r="U10" s="251" t="n"/>
      <c r="V10" s="250" t="inlineStr">
        <is>
          <t>Other Org</t>
        </is>
      </c>
      <c r="W10" s="251" t="n"/>
    </row>
    <row r="11" ht="21" customHeight="1" s="180" thickBot="1">
      <c r="A11" s="172" t="n"/>
      <c r="B11" s="173" t="n"/>
      <c r="C11" s="58" t="inlineStr">
        <is>
          <t>Cash</t>
        </is>
      </c>
      <c r="D11" s="46" t="inlineStr">
        <is>
          <t>Cash</t>
        </is>
      </c>
      <c r="E11" s="47" t="inlineStr">
        <is>
          <t>In-Kind</t>
        </is>
      </c>
      <c r="F11" s="46" t="inlineStr">
        <is>
          <t>Cash</t>
        </is>
      </c>
      <c r="G11" s="47" t="inlineStr">
        <is>
          <t>In-Kind</t>
        </is>
      </c>
      <c r="H11" s="49" t="inlineStr">
        <is>
          <t>Cash</t>
        </is>
      </c>
      <c r="I11" s="47" t="inlineStr">
        <is>
          <t>In-Kind</t>
        </is>
      </c>
      <c r="J11" s="58" t="inlineStr">
        <is>
          <t>Cash</t>
        </is>
      </c>
      <c r="K11" s="46" t="inlineStr">
        <is>
          <t>Cash</t>
        </is>
      </c>
      <c r="L11" s="47" t="inlineStr">
        <is>
          <t>In-Kind</t>
        </is>
      </c>
      <c r="M11" s="46" t="inlineStr">
        <is>
          <t>Cash</t>
        </is>
      </c>
      <c r="N11" s="47" t="inlineStr">
        <is>
          <t>In-Kind</t>
        </is>
      </c>
      <c r="O11" s="49" t="inlineStr">
        <is>
          <t>Cash</t>
        </is>
      </c>
      <c r="P11" s="47" t="inlineStr">
        <is>
          <t>In-Kind</t>
        </is>
      </c>
      <c r="Q11" s="58" t="inlineStr">
        <is>
          <t>Cash</t>
        </is>
      </c>
      <c r="R11" s="46" t="inlineStr">
        <is>
          <t>Cash</t>
        </is>
      </c>
      <c r="S11" s="47" t="inlineStr">
        <is>
          <t>In-Kind</t>
        </is>
      </c>
      <c r="T11" s="46" t="inlineStr">
        <is>
          <t>Cash</t>
        </is>
      </c>
      <c r="U11" s="47" t="inlineStr">
        <is>
          <t>In-Kind</t>
        </is>
      </c>
      <c r="V11" s="58" t="inlineStr">
        <is>
          <t>Cash</t>
        </is>
      </c>
      <c r="W11" s="47" t="inlineStr">
        <is>
          <t>In-Kind</t>
        </is>
      </c>
    </row>
    <row r="12" ht="27" customFormat="1" customHeight="1" s="48" thickBot="1">
      <c r="A12" s="252" t="inlineStr">
        <is>
          <t>PROJECT TOTAL</t>
        </is>
      </c>
      <c r="B12" s="198" t="n"/>
      <c r="C12" s="253">
        <f>SUM(C14,C21,C24,C26,C28,C30,C32)</f>
        <v/>
      </c>
      <c r="D12" s="253">
        <f>SUM(D14,D21,D24,D26,D28,D30,D32)</f>
        <v/>
      </c>
      <c r="E12" s="253">
        <f>SUM(E14,E21,E24,E26,E28,E30,E32)</f>
        <v/>
      </c>
      <c r="F12" s="253">
        <f>SUM(F14,F21,F24,F26,F28,F30,F32)</f>
        <v/>
      </c>
      <c r="G12" s="253">
        <f>SUM(G14,G21,G24,G26,G28,G30,G32)</f>
        <v/>
      </c>
      <c r="H12" s="253">
        <f>SUM(H14,H21,H24,H26,H28,H30,H32)</f>
        <v/>
      </c>
      <c r="I12" s="253">
        <f>SUM(I14,I21,I24,I26,I28,I30,I32)</f>
        <v/>
      </c>
      <c r="J12" s="253">
        <f>SUM(J14,J21,J24,J26,J28,J30,J32)</f>
        <v/>
      </c>
      <c r="K12" s="253">
        <f>SUM(K14,K21,K24,K26,K28,K30,K32)</f>
        <v/>
      </c>
      <c r="L12" s="253">
        <f>SUM(L14,L21,L24,L26,L28,L30,L32)</f>
        <v/>
      </c>
      <c r="M12" s="253">
        <f>SUM(M14,M21,M24,M26,M28,M30,M32)</f>
        <v/>
      </c>
      <c r="N12" s="253">
        <f>SUM(N14,N21,N24,N26,N28,N30,N32)</f>
        <v/>
      </c>
      <c r="O12" s="253">
        <f>SUM(O14,O21,O24,O26,O28,O30,O32)</f>
        <v/>
      </c>
      <c r="P12" s="253">
        <f>SUM(P14,P21,P24,P26,P28,P30,P32)</f>
        <v/>
      </c>
      <c r="Q12" s="253">
        <f>SUM(Q14,Q21,Q24,Q26,Q28,Q30,Q32)</f>
        <v/>
      </c>
      <c r="R12" s="253">
        <f>SUM(R14,R21,R24,R26,R28,R30,R32)</f>
        <v/>
      </c>
      <c r="S12" s="253">
        <f>SUM(S14,S21,S24,S26,S28,S30,S32)</f>
        <v/>
      </c>
      <c r="T12" s="253">
        <f>SUM(T14,T21,T24,T26,T28,T30,T32)</f>
        <v/>
      </c>
      <c r="U12" s="253">
        <f>SUM(U14,U21,U24,U26,U28,U30,U32)</f>
        <v/>
      </c>
      <c r="V12" s="253">
        <f>SUM(V14,V21,V24,V26,V28,V30,V32)</f>
        <v/>
      </c>
      <c r="W12" s="296">
        <f>SUM(W14,W21,W24,W26,W28,W30,W32)</f>
        <v/>
      </c>
    </row>
    <row r="13" ht="27" customFormat="1" customHeight="1" s="48" thickBot="1">
      <c r="A13" s="297" t="inlineStr">
        <is>
          <t>Remaining project funding that can be requested from ARC</t>
        </is>
      </c>
      <c r="B13" s="171" t="n"/>
      <c r="C13" s="255">
        <f>500000-C12</f>
        <v/>
      </c>
      <c r="D13" s="256" t="n"/>
      <c r="E13" s="257" t="n"/>
      <c r="F13" s="256" t="n"/>
      <c r="G13" s="257" t="n"/>
      <c r="H13" s="258" t="n"/>
      <c r="I13" s="257" t="n"/>
      <c r="J13" s="255">
        <f>500000-J12</f>
        <v/>
      </c>
      <c r="K13" s="256" t="n"/>
      <c r="L13" s="257" t="n"/>
      <c r="M13" s="256" t="n"/>
      <c r="N13" s="257" t="n"/>
      <c r="O13" s="258" t="n"/>
      <c r="P13" s="257" t="n"/>
      <c r="Q13" s="255">
        <f>500000-Q12</f>
        <v/>
      </c>
      <c r="R13" s="256" t="n"/>
      <c r="S13" s="257" t="n"/>
      <c r="T13" s="256" t="n"/>
      <c r="U13" s="257" t="n"/>
      <c r="V13" s="298" t="n"/>
      <c r="W13" s="257" t="n"/>
    </row>
    <row r="14" ht="19" customHeight="1" s="180" thickBot="1">
      <c r="A14" s="261" t="inlineStr">
        <is>
          <t>PERSONNEL</t>
        </is>
      </c>
      <c r="B14" s="198" t="n"/>
      <c r="C14" s="262">
        <f>SUM(C15:C20)</f>
        <v/>
      </c>
      <c r="D14" s="262">
        <f>SUM(D15:D20)</f>
        <v/>
      </c>
      <c r="E14" s="262">
        <f>SUM(E15:E20)</f>
        <v/>
      </c>
      <c r="F14" s="262">
        <f>SUM(F15:F20)</f>
        <v/>
      </c>
      <c r="G14" s="262">
        <f>SUM(G15:G20)</f>
        <v/>
      </c>
      <c r="H14" s="262">
        <f>SUM(H15:H20)</f>
        <v/>
      </c>
      <c r="I14" s="262">
        <f>SUM(I15:I20)</f>
        <v/>
      </c>
      <c r="J14" s="262">
        <f>SUM(J15:J20)</f>
        <v/>
      </c>
      <c r="K14" s="262">
        <f>SUM(K15:K20)</f>
        <v/>
      </c>
      <c r="L14" s="262">
        <f>SUM(L15:L20)</f>
        <v/>
      </c>
      <c r="M14" s="262">
        <f>SUM(M15:M20)</f>
        <v/>
      </c>
      <c r="N14" s="262">
        <f>SUM(N15:N20)</f>
        <v/>
      </c>
      <c r="O14" s="262">
        <f>SUM(O15:O20)</f>
        <v/>
      </c>
      <c r="P14" s="262">
        <f>SUM(P15:P20)</f>
        <v/>
      </c>
      <c r="Q14" s="262">
        <f>SUM(Q15:Q20)</f>
        <v/>
      </c>
      <c r="R14" s="262">
        <f>SUM(R15:R20)</f>
        <v/>
      </c>
      <c r="S14" s="262">
        <f>SUM(S15:S20)</f>
        <v/>
      </c>
      <c r="T14" s="262">
        <f>SUM(T15:T20)</f>
        <v/>
      </c>
      <c r="U14" s="262">
        <f>SUM(U15:U20)</f>
        <v/>
      </c>
      <c r="V14" s="262">
        <f>SUM(V15:V20)</f>
        <v/>
      </c>
      <c r="W14" s="262">
        <f>SUM(W15:W20)</f>
        <v/>
      </c>
    </row>
    <row r="15" ht="15.75" customHeight="1" s="180">
      <c r="A15" s="288" t="inlineStr">
        <is>
          <t>CI Smith, 0.5FTE, Level D1-D3</t>
        </is>
      </c>
      <c r="B15" s="171" t="n"/>
      <c r="C15" s="268" t="n"/>
      <c r="D15" s="269" t="n"/>
      <c r="E15" s="270">
        <f>+'1. Salary Scales'!F28*0.5</f>
        <v/>
      </c>
      <c r="F15" s="271" t="n"/>
      <c r="G15" s="272" t="n"/>
      <c r="H15" s="273" t="n"/>
      <c r="I15" s="270" t="n"/>
      <c r="J15" s="268" t="n"/>
      <c r="K15" s="269" t="n"/>
      <c r="L15" s="270">
        <f>+'1. Salary Scales'!F29*0.5</f>
        <v/>
      </c>
      <c r="M15" s="271" t="n"/>
      <c r="N15" s="272" t="n"/>
      <c r="O15" s="273" t="n"/>
      <c r="P15" s="270" t="n"/>
      <c r="Q15" s="268" t="n"/>
      <c r="R15" s="269" t="n"/>
      <c r="S15" s="270">
        <f>+'1. Salary Scales'!F30*0.5</f>
        <v/>
      </c>
      <c r="T15" s="271" t="n"/>
      <c r="U15" s="272" t="n"/>
      <c r="V15" s="273" t="n"/>
      <c r="W15" s="270" t="n"/>
    </row>
    <row r="16" ht="15.75" customHeight="1" s="180">
      <c r="A16" s="299" t="inlineStr">
        <is>
          <t>CI Lee, 0.2FTE, Level B5-B6</t>
        </is>
      </c>
      <c r="B16" s="171" t="n"/>
      <c r="C16" s="268" t="n"/>
      <c r="D16" s="269" t="n"/>
      <c r="E16" s="270" t="n"/>
      <c r="F16" s="271" t="n"/>
      <c r="G16" s="272">
        <f>+'1. Salary Scales'!F26*0.2</f>
        <v/>
      </c>
      <c r="H16" s="273" t="n"/>
      <c r="I16" s="270" t="n"/>
      <c r="J16" s="268" t="n"/>
      <c r="K16" s="269" t="n"/>
      <c r="L16" s="270" t="n"/>
      <c r="M16" s="271" t="n"/>
      <c r="N16" s="272">
        <f>+'1. Salary Scales'!F21*0.2</f>
        <v/>
      </c>
      <c r="O16" s="273" t="n"/>
      <c r="P16" s="270" t="n"/>
      <c r="Q16" s="268" t="n"/>
      <c r="R16" s="269" t="n"/>
      <c r="S16" s="270" t="n"/>
      <c r="T16" s="271" t="n"/>
      <c r="U16" s="272">
        <f>+'1. Salary Scales'!F21*0.2</f>
        <v/>
      </c>
      <c r="V16" s="273" t="n"/>
      <c r="W16" s="270" t="n"/>
    </row>
    <row r="17" ht="15.75" customHeight="1" s="180">
      <c r="A17" s="288" t="inlineStr">
        <is>
          <t>PI Nguyen, 0.1FTE, Level E</t>
        </is>
      </c>
      <c r="B17" s="171" t="n"/>
      <c r="C17" s="268" t="n"/>
      <c r="D17" s="269" t="n"/>
      <c r="E17" s="270" t="n"/>
      <c r="F17" s="271" t="n"/>
      <c r="G17" s="272" t="n"/>
      <c r="H17" s="273" t="n"/>
      <c r="I17" s="270">
        <f>+'1. Salary Scales'!F32*0.1</f>
        <v/>
      </c>
      <c r="J17" s="268" t="n"/>
      <c r="K17" s="269" t="n"/>
      <c r="L17" s="270" t="n"/>
      <c r="M17" s="271" t="n"/>
      <c r="N17" s="272" t="n"/>
      <c r="O17" s="273" t="n"/>
      <c r="P17" s="270">
        <f>+'1. Salary Scales'!F32*0.1</f>
        <v/>
      </c>
      <c r="Q17" s="268" t="n"/>
      <c r="R17" s="269" t="n"/>
      <c r="S17" s="270" t="n"/>
      <c r="T17" s="271" t="n"/>
      <c r="U17" s="272" t="n"/>
      <c r="V17" s="273" t="n"/>
      <c r="W17" s="270">
        <f>+'1. Salary Scales'!F32*0.1</f>
        <v/>
      </c>
    </row>
    <row r="18" ht="15.75" customHeight="1" s="180">
      <c r="A18" s="170" t="inlineStr">
        <is>
          <t xml:space="preserve">HDR (Higher Degree by Research Stipend) </t>
        </is>
      </c>
      <c r="B18" s="171" t="n"/>
      <c r="C18" s="268">
        <f>+'1. Salary Scales'!J3</f>
        <v/>
      </c>
      <c r="D18" s="269">
        <f>+'1. Salary Scales'!K3</f>
        <v/>
      </c>
      <c r="E18" s="270" t="n"/>
      <c r="F18" s="271" t="n"/>
      <c r="G18" s="272" t="n"/>
      <c r="H18" s="273" t="n"/>
      <c r="I18" s="270" t="n"/>
      <c r="J18" s="268">
        <f>+'1. Salary Scales'!J4</f>
        <v/>
      </c>
      <c r="K18" s="269">
        <f>+'1. Salary Scales'!K4</f>
        <v/>
      </c>
      <c r="L18" s="270" t="n"/>
      <c r="M18" s="271" t="n"/>
      <c r="N18" s="272" t="n"/>
      <c r="O18" s="273" t="n"/>
      <c r="P18" s="270" t="n"/>
      <c r="Q18" s="268">
        <f>+'1. Salary Scales'!J5</f>
        <v/>
      </c>
      <c r="R18" s="269">
        <f>+'1. Salary Scales'!K5</f>
        <v/>
      </c>
      <c r="S18" s="270" t="n"/>
      <c r="T18" s="271" t="n"/>
      <c r="U18" s="272" t="n"/>
      <c r="V18" s="273" t="n"/>
      <c r="W18" s="270" t="n"/>
    </row>
    <row r="19" ht="15.75" customHeight="1" s="180">
      <c r="A19" s="170" t="inlineStr">
        <is>
          <t>HDR (Higher Degree by Research Stipend) - UoM funded</t>
        </is>
      </c>
      <c r="B19" s="171" t="n"/>
      <c r="C19" s="268" t="n"/>
      <c r="D19" s="269">
        <f>+'1. Salary Scales'!L3</f>
        <v/>
      </c>
      <c r="E19" s="270" t="n"/>
      <c r="F19" s="271" t="n"/>
      <c r="G19" s="272" t="n"/>
      <c r="H19" s="273" t="n"/>
      <c r="I19" s="270" t="n"/>
      <c r="J19" s="268" t="n"/>
      <c r="K19" s="269">
        <f>+'1. Salary Scales'!L4</f>
        <v/>
      </c>
      <c r="L19" s="270" t="n"/>
      <c r="M19" s="271" t="n"/>
      <c r="N19" s="272" t="n"/>
      <c r="O19" s="273" t="n"/>
      <c r="P19" s="270" t="n"/>
      <c r="Q19" s="268" t="n"/>
      <c r="R19" s="269">
        <f>+'1. Salary Scales'!L5</f>
        <v/>
      </c>
      <c r="S19" s="270" t="n"/>
      <c r="T19" s="271" t="n"/>
      <c r="U19" s="272" t="n"/>
      <c r="V19" s="273" t="n"/>
      <c r="W19" s="270" t="n"/>
    </row>
    <row r="20" ht="15.75" customHeight="1" s="180" thickBot="1">
      <c r="A20" s="288" t="inlineStr">
        <is>
          <t>Research Associate, Level A7-A8, 1.0FTE</t>
        </is>
      </c>
      <c r="B20" s="171" t="n"/>
      <c r="C20" s="274">
        <f>+'1. Salary Scales'!F14</f>
        <v/>
      </c>
      <c r="D20" s="275" t="n"/>
      <c r="E20" s="276" t="n"/>
      <c r="F20" s="277" t="n"/>
      <c r="G20" s="278" t="n"/>
      <c r="H20" s="279" t="n"/>
      <c r="I20" s="276" t="n"/>
      <c r="J20" s="274">
        <f>+'1. Salary Scales'!F15</f>
        <v/>
      </c>
      <c r="K20" s="275" t="n"/>
      <c r="L20" s="276" t="n"/>
      <c r="M20" s="277" t="n"/>
      <c r="N20" s="278" t="n"/>
      <c r="O20" s="279" t="n"/>
      <c r="P20" s="276" t="n"/>
      <c r="Q20" s="274">
        <f>+'1. Salary Scales'!F15</f>
        <v/>
      </c>
      <c r="R20" s="275" t="n"/>
      <c r="S20" s="276" t="n"/>
      <c r="T20" s="277" t="n"/>
      <c r="U20" s="278" t="n"/>
      <c r="V20" s="279" t="n"/>
      <c r="W20" s="276" t="n"/>
    </row>
    <row r="21" ht="15.75" customHeight="1" s="180" thickBot="1">
      <c r="A21" s="261" t="inlineStr">
        <is>
          <t>TEACHING RELIEF</t>
        </is>
      </c>
      <c r="B21" s="198" t="n"/>
      <c r="C21" s="262">
        <f>SUM(C22:C23)</f>
        <v/>
      </c>
      <c r="D21" s="262">
        <f>SUM(D22:D23)</f>
        <v/>
      </c>
      <c r="E21" s="262">
        <f>SUM(E22:E23)</f>
        <v/>
      </c>
      <c r="F21" s="262">
        <f>SUM(F22:F23)</f>
        <v/>
      </c>
      <c r="G21" s="262">
        <f>SUM(G22:G23)</f>
        <v/>
      </c>
      <c r="H21" s="262">
        <f>SUM(H22:H23)</f>
        <v/>
      </c>
      <c r="I21" s="262">
        <f>SUM(I22:I23)</f>
        <v/>
      </c>
      <c r="J21" s="262">
        <f>SUM(J22:J23)</f>
        <v/>
      </c>
      <c r="K21" s="262">
        <f>SUM(K22:K23)</f>
        <v/>
      </c>
      <c r="L21" s="262">
        <f>SUM(L22:L23)</f>
        <v/>
      </c>
      <c r="M21" s="262">
        <f>SUM(M22:M23)</f>
        <v/>
      </c>
      <c r="N21" s="262">
        <f>SUM(N22:N23)</f>
        <v/>
      </c>
      <c r="O21" s="262">
        <f>SUM(O22:O23)</f>
        <v/>
      </c>
      <c r="P21" s="262">
        <f>SUM(P22:P23)</f>
        <v/>
      </c>
      <c r="Q21" s="262">
        <f>SUM(Q22:Q23)</f>
        <v/>
      </c>
      <c r="R21" s="262">
        <f>SUM(R22:R23)</f>
        <v/>
      </c>
      <c r="S21" s="262">
        <f>SUM(S22:S23)</f>
        <v/>
      </c>
      <c r="T21" s="262">
        <f>SUM(T22:T23)</f>
        <v/>
      </c>
      <c r="U21" s="262">
        <f>SUM(U22:U23)</f>
        <v/>
      </c>
      <c r="V21" s="262">
        <f>SUM(V22:V23)</f>
        <v/>
      </c>
      <c r="W21" s="262">
        <f>SUM(W22:W23)</f>
        <v/>
      </c>
    </row>
    <row r="22" ht="15.75" customHeight="1" s="180" thickBot="1">
      <c r="A22" s="287" t="inlineStr">
        <is>
          <t>Teaching Relief for A/Prof Smith</t>
        </is>
      </c>
      <c r="B22" s="179" t="n"/>
      <c r="C22" s="268" t="n">
        <v>25000</v>
      </c>
      <c r="D22" s="269" t="n"/>
      <c r="E22" s="270" t="n"/>
      <c r="F22" s="271" t="n"/>
      <c r="G22" s="272" t="n"/>
      <c r="H22" s="273" t="n"/>
      <c r="I22" s="270" t="n"/>
      <c r="J22" s="268" t="n">
        <v>25000</v>
      </c>
      <c r="K22" s="269" t="n"/>
      <c r="L22" s="270" t="n"/>
      <c r="M22" s="271" t="n"/>
      <c r="N22" s="272" t="n"/>
      <c r="O22" s="273" t="n"/>
      <c r="P22" s="270" t="n"/>
      <c r="Q22" s="268" t="n"/>
      <c r="R22" s="269" t="n"/>
      <c r="S22" s="270" t="n"/>
      <c r="T22" s="271" t="n"/>
      <c r="U22" s="272" t="n"/>
      <c r="V22" s="273" t="n"/>
      <c r="W22" s="270" t="n"/>
    </row>
    <row r="23" ht="15.75" customHeight="1" s="180" thickBot="1">
      <c r="A23" s="287" t="inlineStr">
        <is>
          <t>Teaching Relief for Dr Lee</t>
        </is>
      </c>
      <c r="B23" s="179" t="n"/>
      <c r="C23" s="268" t="n">
        <v>0</v>
      </c>
      <c r="D23" s="269" t="n"/>
      <c r="E23" s="270" t="n"/>
      <c r="F23" s="271" t="n"/>
      <c r="G23" s="272" t="n"/>
      <c r="H23" s="273" t="n"/>
      <c r="I23" s="270" t="n"/>
      <c r="J23" s="268" t="n">
        <v>0</v>
      </c>
      <c r="K23" s="269" t="n"/>
      <c r="L23" s="270" t="n"/>
      <c r="M23" s="271" t="n"/>
      <c r="N23" s="272" t="n"/>
      <c r="O23" s="273" t="n"/>
      <c r="P23" s="270" t="n"/>
      <c r="Q23" s="268" t="n">
        <v>15000</v>
      </c>
      <c r="R23" s="269" t="n"/>
      <c r="S23" s="270" t="n"/>
      <c r="T23" s="271" t="n"/>
      <c r="U23" s="272" t="n"/>
      <c r="V23" s="273" t="n"/>
      <c r="W23" s="270" t="n"/>
    </row>
    <row r="24" ht="15.75" customHeight="1" s="180" thickBot="1">
      <c r="A24" s="261" t="inlineStr">
        <is>
          <t>TRAVEL</t>
        </is>
      </c>
      <c r="B24" s="198" t="n"/>
      <c r="C24" s="262">
        <f>SUM(C25:C25)</f>
        <v/>
      </c>
      <c r="D24" s="267">
        <f>SUM(D25:D25)</f>
        <v/>
      </c>
      <c r="E24" s="264">
        <f>SUM(E25:E25)</f>
        <v/>
      </c>
      <c r="F24" s="286">
        <f>SUM(F25:F25)</f>
        <v/>
      </c>
      <c r="G24" s="266">
        <f>SUM(G25:G25)</f>
        <v/>
      </c>
      <c r="H24" s="267">
        <f>SUM(H25:H25)</f>
        <v/>
      </c>
      <c r="I24" s="264">
        <f>SUM(I25:I25)</f>
        <v/>
      </c>
      <c r="J24" s="262">
        <f>SUM(J25:J25)</f>
        <v/>
      </c>
      <c r="K24" s="267">
        <f>SUM(K25:K25)</f>
        <v/>
      </c>
      <c r="L24" s="264">
        <f>SUM(L25:L25)</f>
        <v/>
      </c>
      <c r="M24" s="286">
        <f>SUM(M25:M25)</f>
        <v/>
      </c>
      <c r="N24" s="266">
        <f>SUM(N25:N25)</f>
        <v/>
      </c>
      <c r="O24" s="267">
        <f>SUM(O25:O25)</f>
        <v/>
      </c>
      <c r="P24" s="264">
        <f>SUM(P25:P25)</f>
        <v/>
      </c>
      <c r="Q24" s="262">
        <f>SUM(Q25:Q25)</f>
        <v/>
      </c>
      <c r="R24" s="267">
        <f>SUM(R25:R25)</f>
        <v/>
      </c>
      <c r="S24" s="264">
        <f>SUM(S25:S25)</f>
        <v/>
      </c>
      <c r="T24" s="286">
        <f>SUM(T25:T25)</f>
        <v/>
      </c>
      <c r="U24" s="266">
        <f>SUM(U25:U25)</f>
        <v/>
      </c>
      <c r="V24" s="267">
        <f>SUM(V25:V25)</f>
        <v/>
      </c>
      <c r="W24" s="264">
        <f>SUM(W25:W25)</f>
        <v/>
      </c>
    </row>
    <row r="25" ht="15.75" customHeight="1" s="180" thickBot="1">
      <c r="A25" s="287" t="inlineStr">
        <is>
          <t>Total Travel Costs</t>
        </is>
      </c>
      <c r="B25" s="179" t="n"/>
      <c r="C25" s="268" t="n">
        <v>2500</v>
      </c>
      <c r="D25" s="269" t="n">
        <v>2500</v>
      </c>
      <c r="E25" s="270" t="n"/>
      <c r="F25" s="271" t="n">
        <v>1000</v>
      </c>
      <c r="G25" s="272" t="n"/>
      <c r="H25" s="273" t="n"/>
      <c r="I25" s="270" t="n"/>
      <c r="J25" s="268" t="n">
        <v>3240</v>
      </c>
      <c r="K25" s="269" t="n">
        <v>2500</v>
      </c>
      <c r="L25" s="270" t="n"/>
      <c r="M25" s="271" t="n">
        <v>2500</v>
      </c>
      <c r="N25" s="272" t="n"/>
      <c r="O25" s="273" t="n">
        <v>1000</v>
      </c>
      <c r="P25" s="270" t="n"/>
      <c r="Q25" s="268" t="n">
        <v>10000</v>
      </c>
      <c r="R25" s="269" t="n">
        <v>2500</v>
      </c>
      <c r="S25" s="270" t="n"/>
      <c r="T25" s="271" t="n">
        <v>1000</v>
      </c>
      <c r="U25" s="272" t="n"/>
      <c r="V25" s="273" t="n">
        <v>2500</v>
      </c>
      <c r="W25" s="270" t="n"/>
    </row>
    <row r="26" ht="15.75" customHeight="1" s="180" thickBot="1">
      <c r="A26" s="261" t="inlineStr">
        <is>
          <t>FIELD RESEARCH</t>
        </is>
      </c>
      <c r="B26" s="198" t="n"/>
      <c r="C26" s="262">
        <f>SUM(C27:C27)</f>
        <v/>
      </c>
      <c r="D26" s="267">
        <f>SUM(D27:D27)</f>
        <v/>
      </c>
      <c r="E26" s="264">
        <f>SUM(E27:E27)</f>
        <v/>
      </c>
      <c r="F26" s="286">
        <f>SUM(F27:F27)</f>
        <v/>
      </c>
      <c r="G26" s="266">
        <f>SUM(G27:G27)</f>
        <v/>
      </c>
      <c r="H26" s="267">
        <f>SUM(H27:H27)</f>
        <v/>
      </c>
      <c r="I26" s="264">
        <f>SUM(I27:I27)</f>
        <v/>
      </c>
      <c r="J26" s="262">
        <f>SUM(J27:J27)</f>
        <v/>
      </c>
      <c r="K26" s="267">
        <f>SUM(K27:K27)</f>
        <v/>
      </c>
      <c r="L26" s="264">
        <f>SUM(L27:L27)</f>
        <v/>
      </c>
      <c r="M26" s="286">
        <f>SUM(M27:M27)</f>
        <v/>
      </c>
      <c r="N26" s="266">
        <f>SUM(N27:N27)</f>
        <v/>
      </c>
      <c r="O26" s="267">
        <f>SUM(O27:O27)</f>
        <v/>
      </c>
      <c r="P26" s="264">
        <f>SUM(P27:P27)</f>
        <v/>
      </c>
      <c r="Q26" s="262">
        <f>SUM(Q27:Q27)</f>
        <v/>
      </c>
      <c r="R26" s="267">
        <f>SUM(R27:R27)</f>
        <v/>
      </c>
      <c r="S26" s="264">
        <f>SUM(S27:S27)</f>
        <v/>
      </c>
      <c r="T26" s="286">
        <f>SUM(T27:T27)</f>
        <v/>
      </c>
      <c r="U26" s="266">
        <f>SUM(U27:U27)</f>
        <v/>
      </c>
      <c r="V26" s="267">
        <f>SUM(V27:V27)</f>
        <v/>
      </c>
      <c r="W26" s="264">
        <f>SUM(W27:W27)</f>
        <v/>
      </c>
    </row>
    <row r="27" ht="15.75" customHeight="1" s="180" thickBot="1">
      <c r="A27" s="287" t="inlineStr">
        <is>
          <t>Total Field Research Costs</t>
        </is>
      </c>
      <c r="B27" s="179" t="n"/>
      <c r="C27" s="268" t="n">
        <v>38600</v>
      </c>
      <c r="D27" s="269" t="n"/>
      <c r="E27" s="270" t="n">
        <v>15000</v>
      </c>
      <c r="F27" s="271" t="n"/>
      <c r="G27" s="272" t="n"/>
      <c r="H27" s="273" t="n"/>
      <c r="I27" s="270" t="n"/>
      <c r="J27" s="268" t="n"/>
      <c r="K27" s="269" t="n"/>
      <c r="L27" s="270" t="n"/>
      <c r="M27" s="271" t="n"/>
      <c r="N27" s="272" t="n"/>
      <c r="O27" s="273" t="n"/>
      <c r="P27" s="270" t="n"/>
      <c r="Q27" s="268" t="n"/>
      <c r="R27" s="269" t="n"/>
      <c r="S27" s="270" t="n"/>
      <c r="T27" s="271" t="n"/>
      <c r="U27" s="272" t="n"/>
      <c r="V27" s="273" t="n"/>
      <c r="W27" s="270" t="n"/>
    </row>
    <row r="28" ht="15.75" customHeight="1" s="180" thickBot="1">
      <c r="A28" s="261" t="inlineStr">
        <is>
          <t>EQUIPMENT</t>
        </is>
      </c>
      <c r="B28" s="198" t="n"/>
      <c r="C28" s="262">
        <f>SUM(C29:C29)</f>
        <v/>
      </c>
      <c r="D28" s="267">
        <f>SUM(D29:D29)</f>
        <v/>
      </c>
      <c r="E28" s="264">
        <f>SUM(E29:E29)</f>
        <v/>
      </c>
      <c r="F28" s="286">
        <f>SUM(F29:F29)</f>
        <v/>
      </c>
      <c r="G28" s="266">
        <f>SUM(G29:G29)</f>
        <v/>
      </c>
      <c r="H28" s="267">
        <f>SUM(H29:H29)</f>
        <v/>
      </c>
      <c r="I28" s="264">
        <f>SUM(I29:I29)</f>
        <v/>
      </c>
      <c r="J28" s="262">
        <f>SUM(J29:J29)</f>
        <v/>
      </c>
      <c r="K28" s="267">
        <f>SUM(K29:K29)</f>
        <v/>
      </c>
      <c r="L28" s="264">
        <f>SUM(L29:L29)</f>
        <v/>
      </c>
      <c r="M28" s="286">
        <f>SUM(M29:M29)</f>
        <v/>
      </c>
      <c r="N28" s="266">
        <f>SUM(N29:N29)</f>
        <v/>
      </c>
      <c r="O28" s="267">
        <f>SUM(O29:O29)</f>
        <v/>
      </c>
      <c r="P28" s="264">
        <f>SUM(P29:P29)</f>
        <v/>
      </c>
      <c r="Q28" s="262">
        <f>SUM(Q29:Q29)</f>
        <v/>
      </c>
      <c r="R28" s="267">
        <f>SUM(R29:R29)</f>
        <v/>
      </c>
      <c r="S28" s="264">
        <f>SUM(S29:S29)</f>
        <v/>
      </c>
      <c r="T28" s="286">
        <f>SUM(T29:T29)</f>
        <v/>
      </c>
      <c r="U28" s="266">
        <f>SUM(U29:U29)</f>
        <v/>
      </c>
      <c r="V28" s="267">
        <f>SUM(V29:V29)</f>
        <v/>
      </c>
      <c r="W28" s="264">
        <f>SUM(W29:W29)</f>
        <v/>
      </c>
    </row>
    <row r="29" ht="15.75" customHeight="1" s="180" thickBot="1">
      <c r="A29" s="287" t="inlineStr">
        <is>
          <t>Total Equipment Costs</t>
        </is>
      </c>
      <c r="B29" s="179" t="n"/>
      <c r="C29" s="268" t="n">
        <v>20000</v>
      </c>
      <c r="D29" s="269" t="n"/>
      <c r="E29" s="270" t="n">
        <v>42000</v>
      </c>
      <c r="F29" s="271" t="n"/>
      <c r="G29" s="272" t="n">
        <v>12000</v>
      </c>
      <c r="H29" s="273" t="n"/>
      <c r="I29" s="270" t="n">
        <v>5000</v>
      </c>
      <c r="J29" s="268" t="n">
        <v>10000</v>
      </c>
      <c r="K29" s="269" t="n"/>
      <c r="L29" s="270" t="n">
        <v>42000</v>
      </c>
      <c r="M29" s="271" t="n"/>
      <c r="N29" s="272" t="n">
        <v>12000</v>
      </c>
      <c r="O29" s="273" t="n"/>
      <c r="P29" s="270" t="n">
        <v>5000</v>
      </c>
      <c r="Q29" s="268" t="n"/>
      <c r="R29" s="269" t="n"/>
      <c r="S29" s="270" t="n"/>
      <c r="T29" s="271" t="n"/>
      <c r="U29" s="272" t="n"/>
      <c r="V29" s="273" t="n"/>
      <c r="W29" s="270" t="n"/>
    </row>
    <row r="30" ht="15.75" customHeight="1" s="180" thickBot="1">
      <c r="A30" s="261" t="inlineStr">
        <is>
          <t>MAINTENANCE</t>
        </is>
      </c>
      <c r="B30" s="198" t="n"/>
      <c r="C30" s="262">
        <f>SUM(C31:C31)</f>
        <v/>
      </c>
      <c r="D30" s="267">
        <f>SUM(D31:D31)</f>
        <v/>
      </c>
      <c r="E30" s="264">
        <f>SUM(E31:E31)</f>
        <v/>
      </c>
      <c r="F30" s="286">
        <f>SUM(F31:F31)</f>
        <v/>
      </c>
      <c r="G30" s="266">
        <f>SUM(G31:G31)</f>
        <v/>
      </c>
      <c r="H30" s="267">
        <f>SUM(H31:H31)</f>
        <v/>
      </c>
      <c r="I30" s="264">
        <f>SUM(I31:I31)</f>
        <v/>
      </c>
      <c r="J30" s="262">
        <f>SUM(J31:J31)</f>
        <v/>
      </c>
      <c r="K30" s="267">
        <f>SUM(K31:K31)</f>
        <v/>
      </c>
      <c r="L30" s="264">
        <f>SUM(L31:L31)</f>
        <v/>
      </c>
      <c r="M30" s="286">
        <f>SUM(M31:M31)</f>
        <v/>
      </c>
      <c r="N30" s="266">
        <f>SUM(N31:N31)</f>
        <v/>
      </c>
      <c r="O30" s="267">
        <f>SUM(O31:O31)</f>
        <v/>
      </c>
      <c r="P30" s="264">
        <f>SUM(P31:P31)</f>
        <v/>
      </c>
      <c r="Q30" s="262">
        <f>SUM(Q31:Q31)</f>
        <v/>
      </c>
      <c r="R30" s="267">
        <f>SUM(R31:R31)</f>
        <v/>
      </c>
      <c r="S30" s="264">
        <f>SUM(S31:S31)</f>
        <v/>
      </c>
      <c r="T30" s="286">
        <f>SUM(T31:T31)</f>
        <v/>
      </c>
      <c r="U30" s="266">
        <f>SUM(U31:U31)</f>
        <v/>
      </c>
      <c r="V30" s="267">
        <f>SUM(V31:V31)</f>
        <v/>
      </c>
      <c r="W30" s="264">
        <f>SUM(W31:W31)</f>
        <v/>
      </c>
    </row>
    <row r="31" ht="15.75" customHeight="1" s="180" thickBot="1">
      <c r="A31" s="287" t="inlineStr">
        <is>
          <t>Total Maintenance Costs</t>
        </is>
      </c>
      <c r="B31" s="179" t="n"/>
      <c r="C31" s="268" t="n">
        <v>45000</v>
      </c>
      <c r="D31" s="269" t="n">
        <v>2000</v>
      </c>
      <c r="E31" s="270" t="n"/>
      <c r="F31" s="271" t="n"/>
      <c r="G31" s="272" t="n"/>
      <c r="H31" s="273" t="n"/>
      <c r="I31" s="270" t="n"/>
      <c r="J31" s="268" t="n">
        <v>45000</v>
      </c>
      <c r="K31" s="269" t="n">
        <v>2000</v>
      </c>
      <c r="L31" s="270" t="n"/>
      <c r="M31" s="271" t="n"/>
      <c r="N31" s="272" t="n"/>
      <c r="O31" s="273" t="n"/>
      <c r="P31" s="270" t="n"/>
      <c r="Q31" s="268" t="n">
        <v>25000</v>
      </c>
      <c r="R31" s="269" t="n">
        <v>2000</v>
      </c>
      <c r="S31" s="270" t="n"/>
      <c r="T31" s="271" t="n"/>
      <c r="U31" s="272" t="n"/>
      <c r="V31" s="273" t="n"/>
      <c r="W31" s="270" t="n"/>
    </row>
    <row r="32" ht="15.75" customHeight="1" s="180" thickBot="1">
      <c r="A32" s="261" t="inlineStr">
        <is>
          <t>OTHER</t>
        </is>
      </c>
      <c r="B32" s="198" t="n"/>
      <c r="C32" s="262">
        <f>SUM(C33:C33)</f>
        <v/>
      </c>
      <c r="D32" s="267">
        <f>SUM(D33:D33)</f>
        <v/>
      </c>
      <c r="E32" s="264">
        <f>SUM(E33:E33)</f>
        <v/>
      </c>
      <c r="F32" s="286">
        <f>SUM(F33:F33)</f>
        <v/>
      </c>
      <c r="G32" s="266">
        <f>SUM(G33:G33)</f>
        <v/>
      </c>
      <c r="H32" s="267">
        <f>SUM(H33:H33)</f>
        <v/>
      </c>
      <c r="I32" s="264">
        <f>SUM(I33:I33)</f>
        <v/>
      </c>
      <c r="J32" s="262">
        <f>SUM(J33:J33)</f>
        <v/>
      </c>
      <c r="K32" s="267">
        <f>SUM(K33:K33)</f>
        <v/>
      </c>
      <c r="L32" s="264">
        <f>SUM(L33:L33)</f>
        <v/>
      </c>
      <c r="M32" s="286">
        <f>SUM(M33:M33)</f>
        <v/>
      </c>
      <c r="N32" s="266">
        <f>SUM(N33:N33)</f>
        <v/>
      </c>
      <c r="O32" s="267">
        <f>SUM(O33:O33)</f>
        <v/>
      </c>
      <c r="P32" s="264">
        <f>SUM(P33:P33)</f>
        <v/>
      </c>
      <c r="Q32" s="262">
        <f>SUM(Q33:Q33)</f>
        <v/>
      </c>
      <c r="R32" s="267">
        <f>SUM(R33:R33)</f>
        <v/>
      </c>
      <c r="S32" s="264">
        <f>SUM(S33:S33)</f>
        <v/>
      </c>
      <c r="T32" s="286">
        <f>SUM(T33:T33)</f>
        <v/>
      </c>
      <c r="U32" s="266">
        <f>SUM(U33:U33)</f>
        <v/>
      </c>
      <c r="V32" s="267">
        <f>SUM(V33:V33)</f>
        <v/>
      </c>
      <c r="W32" s="264">
        <f>SUM(W33:W33)</f>
        <v/>
      </c>
    </row>
    <row r="33" ht="15.75" customHeight="1" s="180" thickBot="1">
      <c r="A33" s="300" t="inlineStr">
        <is>
          <t>Total Other Costs</t>
        </is>
      </c>
      <c r="B33" s="198" t="n"/>
      <c r="C33" s="301" t="n">
        <v>5000</v>
      </c>
      <c r="D33" s="302" t="n"/>
      <c r="E33" s="303" t="n"/>
      <c r="F33" s="304" t="n"/>
      <c r="G33" s="305" t="n">
        <v>4000</v>
      </c>
      <c r="H33" s="306" t="n"/>
      <c r="I33" s="303" t="n">
        <v>1000</v>
      </c>
      <c r="J33" s="301" t="n">
        <v>5000</v>
      </c>
      <c r="K33" s="302" t="n"/>
      <c r="L33" s="303" t="n"/>
      <c r="M33" s="304" t="n"/>
      <c r="N33" s="305" t="n">
        <v>4000</v>
      </c>
      <c r="O33" s="306" t="n"/>
      <c r="P33" s="303" t="n">
        <v>1000</v>
      </c>
      <c r="Q33" s="301" t="n">
        <v>15000</v>
      </c>
      <c r="R33" s="302" t="n"/>
      <c r="S33" s="303" t="n"/>
      <c r="T33" s="304" t="n"/>
      <c r="U33" s="305" t="n"/>
      <c r="V33" s="306" t="n"/>
      <c r="W33" s="303" t="n"/>
    </row>
    <row r="1048460">
      <c r="A1048460" s="143" t="n"/>
    </row>
  </sheetData>
  <mergeCells count="35">
    <mergeCell ref="A30:B30"/>
    <mergeCell ref="Q9:W9"/>
    <mergeCell ref="A24:B24"/>
    <mergeCell ref="A15:B15"/>
    <mergeCell ref="D10:E10"/>
    <mergeCell ref="F10:G10"/>
    <mergeCell ref="H10:I10"/>
    <mergeCell ref="O10:P10"/>
    <mergeCell ref="R10:S10"/>
    <mergeCell ref="A1:B1"/>
    <mergeCell ref="A16:B16"/>
    <mergeCell ref="T10:U10"/>
    <mergeCell ref="A25:B25"/>
    <mergeCell ref="V10:W10"/>
    <mergeCell ref="M10:N10"/>
    <mergeCell ref="A10:B11"/>
    <mergeCell ref="A27:B27"/>
    <mergeCell ref="A12:B12"/>
    <mergeCell ref="A26:B26"/>
    <mergeCell ref="A21:B21"/>
    <mergeCell ref="A33:B33"/>
    <mergeCell ref="J9:P9"/>
    <mergeCell ref="A32:B32"/>
    <mergeCell ref="A14:B14"/>
    <mergeCell ref="A17:B17"/>
    <mergeCell ref="A23:B23"/>
    <mergeCell ref="A22:B22"/>
    <mergeCell ref="A20:B20"/>
    <mergeCell ref="C9:I9"/>
    <mergeCell ref="A29:B29"/>
    <mergeCell ref="K10:L10"/>
    <mergeCell ref="A28:B28"/>
    <mergeCell ref="A13:B13"/>
    <mergeCell ref="A31:B31"/>
    <mergeCell ref="A1048460:B1048460"/>
  </mergeCells>
  <conditionalFormatting sqref="B4">
    <cfRule type="cellIs" priority="2" operator="greaterThan" dxfId="0">
      <formula>50000</formula>
    </cfRule>
  </conditionalFormatting>
  <conditionalFormatting sqref="C13">
    <cfRule type="cellIs" priority="8" operator="lessThan" dxfId="4">
      <formula>0</formula>
    </cfRule>
  </conditionalFormatting>
  <conditionalFormatting sqref="C22:C23 J22:J23 Q22:Q23">
    <cfRule type="cellIs" priority="1" operator="greaterThan" dxfId="0">
      <formula>50000</formula>
    </cfRule>
  </conditionalFormatting>
  <conditionalFormatting sqref="C12:W12">
    <cfRule type="cellIs" priority="7" operator="greaterThan" dxfId="0">
      <formula>500000</formula>
    </cfRule>
  </conditionalFormatting>
  <conditionalFormatting sqref="J13">
    <cfRule type="cellIs" priority="6" operator="lessThan" dxfId="0">
      <formula>0</formula>
    </cfRule>
  </conditionalFormatting>
  <conditionalFormatting sqref="Q13">
    <cfRule type="cellIs" priority="5" operator="lessThan" dxfId="0">
      <formula>0</formula>
    </cfRule>
  </conditionalFormatting>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K41"/>
  <sheetViews>
    <sheetView tabSelected="1" topLeftCell="A7" workbookViewId="0">
      <selection activeCell="L18" sqref="L18"/>
    </sheetView>
  </sheetViews>
  <sheetFormatPr baseColWidth="8" defaultColWidth="17.453125" defaultRowHeight="15.5"/>
  <cols>
    <col width="16.81640625" customWidth="1" style="118" min="1" max="2"/>
    <col width="21" customWidth="1" style="118" min="3" max="3"/>
    <col width="21.54296875" customWidth="1" style="118" min="4" max="4"/>
    <col width="14.7265625" customWidth="1" style="118" min="5" max="5"/>
    <col width="17.453125" customWidth="1" style="118" min="6" max="8"/>
    <col width="21.26953125" customWidth="1" style="118" min="9" max="9"/>
    <col width="17.453125" customWidth="1" style="118" min="10" max="11"/>
    <col width="17.453125" customWidth="1" style="118" min="12" max="12"/>
    <col width="17.453125" customWidth="1" style="118" min="13" max="16384"/>
  </cols>
  <sheetData>
    <row r="1" ht="50.25" customHeight="1" s="180" thickBot="1">
      <c r="A1" s="219" t="inlineStr">
        <is>
          <t>Table 1: Level B.4 and below
Sourced from: https://www.ato.gov.au/law/view/document?docid=TXD/TD20254/NAT/ATO/00001</t>
        </is>
      </c>
      <c r="G1" s="219" t="inlineStr">
        <is>
          <t>Table 2: Level B.5 and above
Sourced from: https://www.ato.gov.au/law/view/document?docid=TXD/TD20254/NAT/ATO/00001</t>
        </is>
      </c>
    </row>
    <row r="2">
      <c r="A2" s="124" t="inlineStr">
        <is>
          <t>Place</t>
        </is>
      </c>
      <c r="B2" s="125" t="inlineStr">
        <is>
          <t>Accomm. ($)</t>
        </is>
      </c>
      <c r="C2" s="125" t="inlineStr">
        <is>
          <t>Food and drink ($)</t>
        </is>
      </c>
      <c r="D2" s="125" t="inlineStr">
        <is>
          <t>Incidentals ($)</t>
        </is>
      </c>
      <c r="E2" s="126" t="inlineStr">
        <is>
          <t>Daily total ($)</t>
        </is>
      </c>
      <c r="G2" s="124" t="inlineStr">
        <is>
          <t>Place</t>
        </is>
      </c>
      <c r="H2" s="125" t="inlineStr">
        <is>
          <t>Accomm. ($)</t>
        </is>
      </c>
      <c r="I2" s="125" t="inlineStr">
        <is>
          <t>Food and drink ($)</t>
        </is>
      </c>
      <c r="J2" s="125" t="inlineStr">
        <is>
          <t>Incidentals ($)</t>
        </is>
      </c>
      <c r="K2" s="126" t="inlineStr">
        <is>
          <t>Daily total ($)</t>
        </is>
      </c>
    </row>
    <row r="3">
      <c r="A3" s="214" t="inlineStr">
        <is>
          <t>Adelaide</t>
        </is>
      </c>
      <c r="B3" s="307" t="n">
        <v>158</v>
      </c>
      <c r="C3" s="119" t="inlineStr">
        <is>
          <t>breakfast 34.75</t>
        </is>
      </c>
      <c r="D3" s="308" t="n">
        <v>24.5</v>
      </c>
      <c r="E3" s="309" t="n">
        <v>323</v>
      </c>
      <c r="G3" s="310" t="inlineStr">
        <is>
          <t>Adelaide</t>
        </is>
      </c>
      <c r="H3" s="307" t="n">
        <v>211</v>
      </c>
      <c r="I3" s="119" t="inlineStr">
        <is>
          <t>breakfast 37.85</t>
        </is>
      </c>
      <c r="J3" s="308" t="n">
        <v>35.05</v>
      </c>
      <c r="K3" s="309" t="n">
        <v>412.35</v>
      </c>
    </row>
    <row r="4">
      <c r="A4" s="311" t="n"/>
      <c r="B4" s="312" t="n"/>
      <c r="C4" s="120" t="inlineStr">
        <is>
          <t>lunch 39.10</t>
        </is>
      </c>
      <c r="D4" s="312" t="n"/>
      <c r="E4" s="313" t="n"/>
      <c r="G4" s="311" t="n"/>
      <c r="H4" s="312" t="n"/>
      <c r="I4" s="120" t="inlineStr">
        <is>
          <t>lunch 53.45</t>
        </is>
      </c>
      <c r="J4" s="312" t="n"/>
      <c r="K4" s="313" t="n"/>
    </row>
    <row r="5">
      <c r="A5" s="314" t="n"/>
      <c r="B5" s="315" t="n"/>
      <c r="C5" s="121" t="inlineStr">
        <is>
          <t>dinner 66.65</t>
        </is>
      </c>
      <c r="D5" s="315" t="n"/>
      <c r="E5" s="316" t="n"/>
      <c r="G5" s="314" t="n"/>
      <c r="H5" s="315" t="n"/>
      <c r="I5" s="121" t="inlineStr">
        <is>
          <t>dinner 75.00</t>
        </is>
      </c>
      <c r="J5" s="315" t="n"/>
      <c r="K5" s="316" t="n"/>
    </row>
    <row r="6">
      <c r="A6" s="214" t="inlineStr">
        <is>
          <t>Brisbane</t>
        </is>
      </c>
      <c r="B6" s="307" t="n">
        <v>181</v>
      </c>
      <c r="C6" s="119" t="inlineStr">
        <is>
          <t>breakfast 34.75</t>
        </is>
      </c>
      <c r="D6" s="308" t="n">
        <v>24.5</v>
      </c>
      <c r="E6" s="309" t="n">
        <v>346</v>
      </c>
      <c r="G6" s="310" t="inlineStr">
        <is>
          <t>Brisbane</t>
        </is>
      </c>
      <c r="H6" s="307" t="n">
        <v>257</v>
      </c>
      <c r="I6" s="119" t="inlineStr">
        <is>
          <t>breakfast 37.85</t>
        </is>
      </c>
      <c r="J6" s="308" t="n">
        <v>35.05</v>
      </c>
      <c r="K6" s="308" t="n">
        <v>458.35</v>
      </c>
    </row>
    <row r="7">
      <c r="A7" s="311" t="n"/>
      <c r="B7" s="312" t="n"/>
      <c r="C7" s="120" t="inlineStr">
        <is>
          <t>lunch 39.10</t>
        </is>
      </c>
      <c r="D7" s="312" t="n"/>
      <c r="E7" s="313" t="n"/>
      <c r="G7" s="311" t="n"/>
      <c r="H7" s="312" t="n"/>
      <c r="I7" s="120" t="inlineStr">
        <is>
          <t>lunch 53.45</t>
        </is>
      </c>
      <c r="J7" s="312" t="n"/>
      <c r="K7" s="312" t="n"/>
    </row>
    <row r="8">
      <c r="A8" s="314" t="n"/>
      <c r="B8" s="315" t="n"/>
      <c r="C8" s="121" t="inlineStr">
        <is>
          <t>dinner 66.65</t>
        </is>
      </c>
      <c r="D8" s="315" t="n"/>
      <c r="E8" s="316" t="n"/>
      <c r="G8" s="314" t="n"/>
      <c r="H8" s="315" t="n"/>
      <c r="I8" s="121" t="inlineStr">
        <is>
          <t>dinner 75.00</t>
        </is>
      </c>
      <c r="J8" s="315" t="n"/>
      <c r="K8" s="315" t="n"/>
    </row>
    <row r="9">
      <c r="A9" s="214" t="inlineStr">
        <is>
          <t>Canberra</t>
        </is>
      </c>
      <c r="B9" s="307" t="n">
        <v>178</v>
      </c>
      <c r="C9" s="119" t="inlineStr">
        <is>
          <t>breakfast 34.75</t>
        </is>
      </c>
      <c r="D9" s="308" t="n">
        <v>24.5</v>
      </c>
      <c r="E9" s="309" t="n">
        <v>343</v>
      </c>
      <c r="G9" s="310" t="inlineStr">
        <is>
          <t>Canberra</t>
        </is>
      </c>
      <c r="H9" s="307" t="n">
        <v>246</v>
      </c>
      <c r="I9" s="119" t="inlineStr">
        <is>
          <t>breakfast 37.85</t>
        </is>
      </c>
      <c r="J9" s="308" t="n">
        <v>35.05</v>
      </c>
      <c r="K9" s="308" t="n">
        <v>447.35</v>
      </c>
    </row>
    <row r="10">
      <c r="A10" s="311" t="n"/>
      <c r="B10" s="312" t="n"/>
      <c r="C10" s="120" t="inlineStr">
        <is>
          <t>lunch 39.10</t>
        </is>
      </c>
      <c r="D10" s="312" t="n"/>
      <c r="E10" s="313" t="n"/>
      <c r="G10" s="311" t="n"/>
      <c r="H10" s="312" t="n"/>
      <c r="I10" s="120" t="inlineStr">
        <is>
          <t>lunch 53.45</t>
        </is>
      </c>
      <c r="J10" s="312" t="n"/>
      <c r="K10" s="312" t="n"/>
    </row>
    <row r="11">
      <c r="A11" s="314" t="n"/>
      <c r="B11" s="315" t="n"/>
      <c r="C11" s="121" t="inlineStr">
        <is>
          <t>dinner 66.65</t>
        </is>
      </c>
      <c r="D11" s="315" t="n"/>
      <c r="E11" s="316" t="n"/>
      <c r="G11" s="314" t="n"/>
      <c r="H11" s="315" t="n"/>
      <c r="I11" s="121" t="inlineStr">
        <is>
          <t>dinner 75.00</t>
        </is>
      </c>
      <c r="J11" s="315" t="n"/>
      <c r="K11" s="315" t="n"/>
    </row>
    <row r="12" customFormat="1" s="122">
      <c r="A12" s="214" t="inlineStr">
        <is>
          <t>Darwin</t>
        </is>
      </c>
      <c r="B12" s="307" t="n">
        <v>220</v>
      </c>
      <c r="C12" s="119" t="inlineStr">
        <is>
          <t>breakfast 34.75</t>
        </is>
      </c>
      <c r="D12" s="308" t="n">
        <v>24.5</v>
      </c>
      <c r="E12" s="309" t="n">
        <v>385</v>
      </c>
      <c r="G12" s="310" t="inlineStr">
        <is>
          <t>Darwin</t>
        </is>
      </c>
      <c r="H12" s="307" t="n">
        <v>293</v>
      </c>
      <c r="I12" s="119" t="inlineStr">
        <is>
          <t>breakfast 37.85</t>
        </is>
      </c>
      <c r="J12" s="308" t="n">
        <v>35.05</v>
      </c>
      <c r="K12" s="308" t="n">
        <v>494.35</v>
      </c>
    </row>
    <row r="13" customFormat="1" s="122">
      <c r="A13" s="311" t="n"/>
      <c r="B13" s="312" t="n"/>
      <c r="C13" s="120" t="inlineStr">
        <is>
          <t>lunch 39.10</t>
        </is>
      </c>
      <c r="D13" s="312" t="n"/>
      <c r="E13" s="313" t="n"/>
      <c r="G13" s="311" t="n"/>
      <c r="H13" s="312" t="n"/>
      <c r="I13" s="120" t="inlineStr">
        <is>
          <t>lunch 53.45</t>
        </is>
      </c>
      <c r="J13" s="312" t="n"/>
      <c r="K13" s="312" t="n"/>
    </row>
    <row r="14">
      <c r="A14" s="314" t="n"/>
      <c r="B14" s="315" t="n"/>
      <c r="C14" s="121" t="inlineStr">
        <is>
          <t>dinner 66.65</t>
        </is>
      </c>
      <c r="D14" s="315" t="n"/>
      <c r="E14" s="316" t="n"/>
      <c r="G14" s="314" t="n"/>
      <c r="H14" s="315" t="n"/>
      <c r="I14" s="121" t="inlineStr">
        <is>
          <t>dinner 75.00</t>
        </is>
      </c>
      <c r="J14" s="315" t="n"/>
      <c r="K14" s="315" t="n"/>
    </row>
    <row r="15">
      <c r="A15" s="214" t="inlineStr">
        <is>
          <t>Hobart</t>
        </is>
      </c>
      <c r="B15" s="307" t="n">
        <v>176</v>
      </c>
      <c r="C15" s="119" t="inlineStr">
        <is>
          <t>breakfast 34.75</t>
        </is>
      </c>
      <c r="D15" s="308" t="n">
        <v>24.5</v>
      </c>
      <c r="E15" s="309" t="n">
        <v>341</v>
      </c>
      <c r="G15" s="310" t="inlineStr">
        <is>
          <t>Hobart</t>
        </is>
      </c>
      <c r="H15" s="307" t="n">
        <v>235</v>
      </c>
      <c r="I15" s="119" t="inlineStr">
        <is>
          <t>breakfast 37.85</t>
        </is>
      </c>
      <c r="J15" s="308" t="n">
        <v>35.05</v>
      </c>
      <c r="K15" s="308" t="n">
        <v>436.35</v>
      </c>
    </row>
    <row r="16">
      <c r="A16" s="311" t="n"/>
      <c r="B16" s="312" t="n"/>
      <c r="C16" s="120" t="inlineStr">
        <is>
          <t>lunch 39.10</t>
        </is>
      </c>
      <c r="D16" s="312" t="n"/>
      <c r="E16" s="313" t="n"/>
      <c r="G16" s="311" t="n"/>
      <c r="H16" s="312" t="n"/>
      <c r="I16" s="120" t="inlineStr">
        <is>
          <t>lunch 53.45</t>
        </is>
      </c>
      <c r="J16" s="312" t="n"/>
      <c r="K16" s="312" t="n"/>
    </row>
    <row r="17">
      <c r="A17" s="314" t="n"/>
      <c r="B17" s="315" t="n"/>
      <c r="C17" s="121" t="inlineStr">
        <is>
          <t>dinner 66.65</t>
        </is>
      </c>
      <c r="D17" s="315" t="n"/>
      <c r="E17" s="316" t="n"/>
      <c r="G17" s="314" t="n"/>
      <c r="H17" s="315" t="n"/>
      <c r="I17" s="121" t="inlineStr">
        <is>
          <t>dinner 75.00</t>
        </is>
      </c>
      <c r="J17" s="315" t="n"/>
      <c r="K17" s="315" t="n"/>
    </row>
    <row r="18">
      <c r="A18" s="214" t="inlineStr">
        <is>
          <t>Melbourne</t>
        </is>
      </c>
      <c r="B18" s="307" t="n">
        <v>173</v>
      </c>
      <c r="C18" s="119" t="inlineStr">
        <is>
          <t>breakfast 34.75</t>
        </is>
      </c>
      <c r="D18" s="308" t="n">
        <v>24.5</v>
      </c>
      <c r="E18" s="309" t="n">
        <v>338</v>
      </c>
      <c r="G18" s="310" t="inlineStr">
        <is>
          <t>Melbourne</t>
        </is>
      </c>
      <c r="H18" s="307" t="n">
        <v>231</v>
      </c>
      <c r="I18" s="119" t="inlineStr">
        <is>
          <t>breakfast 37.85</t>
        </is>
      </c>
      <c r="J18" s="308" t="n">
        <v>35.05</v>
      </c>
      <c r="K18" s="308" t="n">
        <v>432.35</v>
      </c>
    </row>
    <row r="19">
      <c r="A19" s="311" t="n"/>
      <c r="B19" s="312" t="n"/>
      <c r="C19" s="120" t="inlineStr">
        <is>
          <t>lunch 39.10</t>
        </is>
      </c>
      <c r="D19" s="312" t="n"/>
      <c r="E19" s="313" t="n"/>
      <c r="G19" s="311" t="n"/>
      <c r="H19" s="312" t="n"/>
      <c r="I19" s="120" t="inlineStr">
        <is>
          <t>lunch 53.45</t>
        </is>
      </c>
      <c r="J19" s="312" t="n"/>
      <c r="K19" s="312" t="n"/>
    </row>
    <row r="20">
      <c r="A20" s="314" t="n"/>
      <c r="B20" s="315" t="n"/>
      <c r="C20" s="121" t="inlineStr">
        <is>
          <t>dinner 66.65</t>
        </is>
      </c>
      <c r="D20" s="315" t="n"/>
      <c r="E20" s="316" t="n"/>
      <c r="G20" s="314" t="n"/>
      <c r="H20" s="315" t="n"/>
      <c r="I20" s="121" t="inlineStr">
        <is>
          <t>dinner 75.00</t>
        </is>
      </c>
      <c r="J20" s="315" t="n"/>
      <c r="K20" s="315" t="n"/>
    </row>
    <row r="21">
      <c r="A21" s="214" t="inlineStr">
        <is>
          <t>Perth</t>
        </is>
      </c>
      <c r="B21" s="307" t="n">
        <v>180</v>
      </c>
      <c r="C21" s="119" t="inlineStr">
        <is>
          <t>breakfast 34.75</t>
        </is>
      </c>
      <c r="D21" s="308" t="n">
        <v>24.5</v>
      </c>
      <c r="E21" s="309" t="n">
        <v>345</v>
      </c>
      <c r="G21" s="310" t="inlineStr">
        <is>
          <t>Perth</t>
        </is>
      </c>
      <c r="H21" s="307" t="n">
        <v>245</v>
      </c>
      <c r="I21" s="119" t="inlineStr">
        <is>
          <t>breakfast 37.85</t>
        </is>
      </c>
      <c r="J21" s="308" t="n">
        <v>35.05</v>
      </c>
      <c r="K21" s="308" t="n">
        <v>446.35</v>
      </c>
    </row>
    <row r="22">
      <c r="A22" s="311" t="n"/>
      <c r="B22" s="312" t="n"/>
      <c r="C22" s="120" t="inlineStr">
        <is>
          <t>lunch 39.10</t>
        </is>
      </c>
      <c r="D22" s="312" t="n"/>
      <c r="E22" s="313" t="n"/>
      <c r="G22" s="311" t="n"/>
      <c r="H22" s="312" t="n"/>
      <c r="I22" s="120" t="inlineStr">
        <is>
          <t>lunch 53.45</t>
        </is>
      </c>
      <c r="J22" s="312" t="n"/>
      <c r="K22" s="312" t="n"/>
    </row>
    <row r="23">
      <c r="A23" s="314" t="n"/>
      <c r="B23" s="315" t="n"/>
      <c r="C23" s="121" t="inlineStr">
        <is>
          <t>dinner 66.65</t>
        </is>
      </c>
      <c r="D23" s="315" t="n"/>
      <c r="E23" s="316" t="n"/>
      <c r="G23" s="314" t="n"/>
      <c r="H23" s="315" t="n"/>
      <c r="I23" s="121" t="inlineStr">
        <is>
          <t>dinner 75.00</t>
        </is>
      </c>
      <c r="J23" s="315" t="n"/>
      <c r="K23" s="315" t="n"/>
    </row>
    <row r="24">
      <c r="A24" s="214" t="inlineStr">
        <is>
          <t>Sydney</t>
        </is>
      </c>
      <c r="B24" s="307" t="n">
        <v>223</v>
      </c>
      <c r="C24" s="119" t="inlineStr">
        <is>
          <t>breakfast 34.75</t>
        </is>
      </c>
      <c r="D24" s="308" t="n">
        <v>24.5</v>
      </c>
      <c r="E24" s="309" t="n">
        <v>388</v>
      </c>
      <c r="G24" s="310" t="inlineStr">
        <is>
          <t>Sydney</t>
        </is>
      </c>
      <c r="H24" s="307" t="n">
        <v>297</v>
      </c>
      <c r="I24" s="119" t="inlineStr">
        <is>
          <t>breakfast 37.85</t>
        </is>
      </c>
      <c r="J24" s="308" t="n">
        <v>35.05</v>
      </c>
      <c r="K24" s="308" t="n">
        <v>498.35</v>
      </c>
    </row>
    <row r="25">
      <c r="A25" s="311" t="n"/>
      <c r="B25" s="312" t="n"/>
      <c r="C25" s="120" t="inlineStr">
        <is>
          <t>lunch 39.10</t>
        </is>
      </c>
      <c r="D25" s="312" t="n"/>
      <c r="E25" s="313" t="n"/>
      <c r="G25" s="311" t="n"/>
      <c r="H25" s="312" t="n"/>
      <c r="I25" s="120" t="inlineStr">
        <is>
          <t>lunch 53.45</t>
        </is>
      </c>
      <c r="J25" s="312" t="n"/>
      <c r="K25" s="312" t="n"/>
    </row>
    <row r="26">
      <c r="A26" s="314" t="n"/>
      <c r="B26" s="315" t="n"/>
      <c r="C26" s="121" t="inlineStr">
        <is>
          <t>dinner 66.65</t>
        </is>
      </c>
      <c r="D26" s="315" t="n"/>
      <c r="E26" s="316" t="n"/>
      <c r="G26" s="314" t="n"/>
      <c r="H26" s="315" t="n"/>
      <c r="I26" s="121" t="inlineStr">
        <is>
          <t>dinner 75.00</t>
        </is>
      </c>
      <c r="J26" s="315" t="n"/>
      <c r="K26" s="315" t="n"/>
    </row>
    <row r="27">
      <c r="A27" s="127" t="inlineStr">
        <is>
          <t>* High-cost</t>
        </is>
      </c>
      <c r="B27" s="317" t="inlineStr">
        <is>
          <t>see Table 4 at hyperlink below</t>
        </is>
      </c>
      <c r="C27" s="119" t="inlineStr">
        <is>
          <t>breakfast 34.75</t>
        </is>
      </c>
      <c r="D27" s="308" t="n">
        <v>24.5</v>
      </c>
      <c r="E27" s="309" t="inlineStr">
        <is>
          <t>variable</t>
        </is>
      </c>
      <c r="G27" s="127" t="inlineStr">
        <is>
          <t>High-cost</t>
        </is>
      </c>
      <c r="H27" s="317" t="inlineStr">
        <is>
          <t>see Table 4 at hyperlink below</t>
        </is>
      </c>
      <c r="I27" s="119" t="inlineStr">
        <is>
          <t>breakfast 37.85</t>
        </is>
      </c>
      <c r="J27" s="308" t="n">
        <v>35.05</v>
      </c>
      <c r="K27" s="308" t="inlineStr">
        <is>
          <t>variable</t>
        </is>
      </c>
    </row>
    <row r="28">
      <c r="A28" s="128" t="inlineStr">
        <is>
          <t>country centres</t>
        </is>
      </c>
      <c r="B28" s="312" t="n"/>
      <c r="C28" s="120" t="inlineStr">
        <is>
          <t>lunch 39.10</t>
        </is>
      </c>
      <c r="D28" s="312" t="n"/>
      <c r="E28" s="313" t="n"/>
      <c r="G28" s="128" t="inlineStr">
        <is>
          <t>country centres</t>
        </is>
      </c>
      <c r="H28" s="312" t="n"/>
      <c r="I28" s="120" t="inlineStr">
        <is>
          <t>lunch 53.45</t>
        </is>
      </c>
      <c r="J28" s="312" t="n"/>
      <c r="K28" s="312" t="n"/>
    </row>
    <row r="29">
      <c r="A29" s="129" t="n"/>
      <c r="B29" s="315" t="n"/>
      <c r="C29" s="121" t="inlineStr">
        <is>
          <t>dinner 66.65</t>
        </is>
      </c>
      <c r="D29" s="315" t="n"/>
      <c r="E29" s="316" t="n"/>
      <c r="G29" s="129" t="n"/>
      <c r="H29" s="315" t="n"/>
      <c r="I29" s="121" t="inlineStr">
        <is>
          <t>dinner 75.00</t>
        </is>
      </c>
      <c r="J29" s="315" t="n"/>
      <c r="K29" s="315" t="n"/>
    </row>
    <row r="30">
      <c r="A30" s="127" t="inlineStr">
        <is>
          <t>Other country</t>
        </is>
      </c>
      <c r="B30" s="318" t="n">
        <v>141</v>
      </c>
      <c r="C30" s="119" t="inlineStr">
        <is>
          <t>breakfast 31.15</t>
        </is>
      </c>
      <c r="D30" s="308" t="n">
        <v>24.5</v>
      </c>
      <c r="E30" s="309" t="n">
        <v>293.5</v>
      </c>
      <c r="G30" s="127" t="inlineStr">
        <is>
          <t>Other country</t>
        </is>
      </c>
      <c r="H30" s="318" t="n">
        <v>188</v>
      </c>
      <c r="I30" s="119" t="inlineStr">
        <is>
          <t>breakfast 37.85</t>
        </is>
      </c>
      <c r="J30" s="308" t="n">
        <v>35.05</v>
      </c>
      <c r="K30" s="308" t="n">
        <v>362.35</v>
      </c>
    </row>
    <row r="31">
      <c r="A31" s="128" t="inlineStr">
        <is>
          <t>centres</t>
        </is>
      </c>
      <c r="B31" s="312" t="n"/>
      <c r="C31" s="120" t="inlineStr">
        <is>
          <t>lunch 35.55</t>
        </is>
      </c>
      <c r="D31" s="312" t="n"/>
      <c r="E31" s="313" t="n"/>
      <c r="G31" s="128" t="inlineStr">
        <is>
          <t>centres</t>
        </is>
      </c>
      <c r="H31" s="312" t="n"/>
      <c r="I31" s="120" t="inlineStr">
        <is>
          <t>lunch 53.45</t>
        </is>
      </c>
      <c r="J31" s="312" t="n"/>
      <c r="K31" s="312" t="n"/>
    </row>
    <row r="32" ht="16" customHeight="1" s="180" thickBot="1">
      <c r="A32" s="130" t="n"/>
      <c r="B32" s="319" t="n"/>
      <c r="C32" s="121" t="inlineStr">
        <is>
          <t>dinner 61.30</t>
        </is>
      </c>
      <c r="D32" s="315" t="n"/>
      <c r="E32" s="316" t="n"/>
      <c r="G32" s="130" t="n"/>
      <c r="H32" s="319" t="n"/>
      <c r="I32" s="121" t="inlineStr">
        <is>
          <t>dinner 75.00</t>
        </is>
      </c>
      <c r="J32" s="315" t="n"/>
      <c r="K32" s="315" t="n"/>
    </row>
    <row r="34">
      <c r="A34" s="123" t="inlineStr">
        <is>
          <t>* High-cost country centres are in table 4 at: https://www.ato.gov.au/law/view/document?docid=TXD/TD20254/NAT/ATO/00001</t>
        </is>
      </c>
    </row>
    <row r="35">
      <c r="A35" s="123" t="n"/>
    </row>
    <row r="37" ht="18.5" customHeight="1" s="180">
      <c r="A37" s="131" t="inlineStr">
        <is>
          <t>Travel Budget Preparation:</t>
        </is>
      </c>
      <c r="B37" s="132" t="n"/>
      <c r="C37" s="132" t="n"/>
      <c r="D37" s="132" t="n"/>
      <c r="E37" s="132" t="n"/>
      <c r="F37" s="132" t="n"/>
      <c r="G37" s="132" t="n"/>
      <c r="H37" s="132" t="n"/>
      <c r="I37" s="132" t="n"/>
      <c r="J37" s="132" t="n"/>
      <c r="K37" s="132" t="n"/>
    </row>
    <row r="38">
      <c r="A38" s="132" t="inlineStr">
        <is>
          <t xml:space="preserve">* D1: Enter a one-line budget figure for travel costs essential to the project i.e. Total Travel Costs
 </t>
        </is>
      </c>
      <c r="B38" s="132" t="n"/>
      <c r="C38" s="132" t="n"/>
      <c r="D38" s="132" t="n"/>
      <c r="E38" s="132" t="n"/>
      <c r="F38" s="132" t="n"/>
      <c r="G38" s="132" t="n"/>
      <c r="H38" s="132" t="n"/>
      <c r="I38" s="132" t="n"/>
      <c r="J38" s="132" t="n"/>
      <c r="K38" s="132" t="n"/>
    </row>
    <row r="39">
      <c r="A39" s="132" t="inlineStr">
        <is>
          <t xml:space="preserve">* D2/D3:  Details and justification
of ‘Travel’ and costings must be included in Questions D2 and D3 as appropriate, such as
individual economy-class flights, accommodation, travel allowance, conference costs etc.  </t>
        </is>
      </c>
      <c r="B39" s="132" t="n"/>
      <c r="C39" s="132" t="n"/>
      <c r="D39" s="132" t="n"/>
      <c r="E39" s="132" t="n"/>
      <c r="F39" s="132" t="n"/>
      <c r="G39" s="132" t="n"/>
      <c r="H39" s="132" t="n"/>
      <c r="I39" s="132" t="n"/>
      <c r="J39" s="132" t="n"/>
      <c r="K39" s="132" t="n"/>
    </row>
    <row r="40">
      <c r="A40" s="132" t="inlineStr">
        <is>
          <t>* Travel costs are capped at $50,000 per project</t>
        </is>
      </c>
      <c r="B40" s="132" t="n"/>
      <c r="C40" s="132" t="n"/>
      <c r="D40" s="132" t="n"/>
      <c r="E40" s="132" t="n"/>
      <c r="F40" s="132" t="n"/>
      <c r="G40" s="132" t="n"/>
      <c r="H40" s="132" t="n"/>
      <c r="I40" s="132" t="n"/>
      <c r="J40" s="132" t="n"/>
      <c r="K40" s="132" t="n"/>
    </row>
    <row r="41">
      <c r="A41" s="132" t="inlineStr">
        <is>
          <t>* Travel and accommodation costs related to carrying out field research or carers’ costs are not included in this $50,000 limit. Refer to subsections 5.2.e. of the Grant Guidelines for further information.</t>
        </is>
      </c>
      <c r="B41" s="132" t="n"/>
      <c r="C41" s="132" t="n"/>
      <c r="D41" s="132" t="n"/>
      <c r="E41" s="132" t="n"/>
      <c r="F41" s="132" t="n"/>
      <c r="G41" s="132" t="n"/>
      <c r="H41" s="132" t="n"/>
      <c r="I41" s="132" t="n"/>
      <c r="J41" s="132" t="n"/>
      <c r="K41" s="132" t="n"/>
    </row>
  </sheetData>
  <mergeCells count="78">
    <mergeCell ref="A21:A23"/>
    <mergeCell ref="A1:E1"/>
    <mergeCell ref="D9:D11"/>
    <mergeCell ref="H3:H5"/>
    <mergeCell ref="D30:D32"/>
    <mergeCell ref="E3:E5"/>
    <mergeCell ref="A15:A17"/>
    <mergeCell ref="A24:A26"/>
    <mergeCell ref="K24:K26"/>
    <mergeCell ref="E18:E20"/>
    <mergeCell ref="B12:B14"/>
    <mergeCell ref="B21:B23"/>
    <mergeCell ref="D21:D23"/>
    <mergeCell ref="A6:A8"/>
    <mergeCell ref="H21:H23"/>
    <mergeCell ref="J15:J17"/>
    <mergeCell ref="G3:G5"/>
    <mergeCell ref="J24:J26"/>
    <mergeCell ref="G6:G8"/>
    <mergeCell ref="E30:E32"/>
    <mergeCell ref="A12:A14"/>
    <mergeCell ref="J3:J5"/>
    <mergeCell ref="H27:H29"/>
    <mergeCell ref="H18:H20"/>
    <mergeCell ref="J18:J20"/>
    <mergeCell ref="E12:E14"/>
    <mergeCell ref="E21:E23"/>
    <mergeCell ref="B3:B5"/>
    <mergeCell ref="K15:K17"/>
    <mergeCell ref="D6:D8"/>
    <mergeCell ref="K18:K20"/>
    <mergeCell ref="K21:K23"/>
    <mergeCell ref="E24:E26"/>
    <mergeCell ref="J6:J8"/>
    <mergeCell ref="J30:J32"/>
    <mergeCell ref="H6:H8"/>
    <mergeCell ref="A3:A5"/>
    <mergeCell ref="G1:K1"/>
    <mergeCell ref="K12:K14"/>
    <mergeCell ref="A18:A20"/>
    <mergeCell ref="K27:K29"/>
    <mergeCell ref="E9:E11"/>
    <mergeCell ref="E27:E29"/>
    <mergeCell ref="B15:B17"/>
    <mergeCell ref="B24:B26"/>
    <mergeCell ref="D24:D26"/>
    <mergeCell ref="D18:D20"/>
    <mergeCell ref="K6:K8"/>
    <mergeCell ref="G9:G11"/>
    <mergeCell ref="H15:H17"/>
    <mergeCell ref="H24:H26"/>
    <mergeCell ref="K9:K11"/>
    <mergeCell ref="G12:G14"/>
    <mergeCell ref="G21:G23"/>
    <mergeCell ref="D27:D29"/>
    <mergeCell ref="H9:H11"/>
    <mergeCell ref="J9:J11"/>
    <mergeCell ref="E15:E17"/>
    <mergeCell ref="G15:G17"/>
    <mergeCell ref="G24:G26"/>
    <mergeCell ref="B6:B8"/>
    <mergeCell ref="G18:G20"/>
    <mergeCell ref="D15:D17"/>
    <mergeCell ref="D12:D14"/>
    <mergeCell ref="B30:B32"/>
    <mergeCell ref="K3:K5"/>
    <mergeCell ref="H12:H14"/>
    <mergeCell ref="J12:J14"/>
    <mergeCell ref="J21:J23"/>
    <mergeCell ref="H30:H32"/>
    <mergeCell ref="A9:A11"/>
    <mergeCell ref="K30:K32"/>
    <mergeCell ref="B18:B20"/>
    <mergeCell ref="B27:B29"/>
    <mergeCell ref="E6:E8"/>
    <mergeCell ref="B9:B11"/>
    <mergeCell ref="D3:D5"/>
    <mergeCell ref="J27:J29"/>
  </mergeCells>
  <pageMargins left="0.7086614173228347" right="0.7086614173228347" top="0.7480314960629921" bottom="0.7480314960629921" header="0.3149606299212598" footer="0.3149606299212598"/>
  <pageSetup orientation="landscape" scale="61"/>
</worksheet>
</file>

<file path=xl/worksheets/sheet5.xml><?xml version="1.0" encoding="utf-8"?>
<worksheet xmlns="http://schemas.openxmlformats.org/spreadsheetml/2006/main">
  <sheetPr>
    <outlinePr summaryBelow="1" summaryRight="1"/>
    <pageSetUpPr fitToPage="1"/>
  </sheetPr>
  <dimension ref="A1:Q49"/>
  <sheetViews>
    <sheetView workbookViewId="0">
      <selection activeCell="A1" sqref="A1:P1"/>
    </sheetView>
  </sheetViews>
  <sheetFormatPr baseColWidth="8" defaultColWidth="9.26953125" defaultRowHeight="15.5"/>
  <cols>
    <col width="13.1796875" bestFit="1" customWidth="1" style="110" min="1" max="1"/>
    <col width="11.54296875" bestFit="1" customWidth="1" style="110" min="2" max="2"/>
    <col width="12.26953125" bestFit="1" customWidth="1" style="110" min="3" max="3"/>
    <col width="11.54296875" bestFit="1" customWidth="1" style="110" min="4" max="4"/>
    <col width="17.26953125" bestFit="1" customWidth="1" style="110" min="5" max="5"/>
    <col width="11.54296875" bestFit="1" customWidth="1" style="110" min="6" max="6"/>
    <col width="9.26953125" customWidth="1" style="115" min="7" max="7"/>
    <col width="10.7265625" bestFit="1" customWidth="1" style="115" min="8" max="8"/>
    <col width="9" bestFit="1" customWidth="1" style="115" min="9" max="9"/>
    <col width="13.7265625" bestFit="1" customWidth="1" style="115" min="10" max="10"/>
    <col width="8.26953125" bestFit="1" customWidth="1" style="115" min="11" max="11"/>
    <col width="9.26953125" customWidth="1" style="115" min="12" max="12"/>
    <col width="10.7265625" bestFit="1" customWidth="1" style="115" min="13" max="13"/>
    <col width="9" bestFit="1" customWidth="1" style="115" min="14" max="14"/>
    <col width="13.7265625" bestFit="1" customWidth="1" style="115" min="15" max="15"/>
    <col width="8.26953125" bestFit="1" customWidth="1" style="115" min="16" max="16"/>
    <col width="9.26953125" customWidth="1" style="115" min="17" max="16384"/>
  </cols>
  <sheetData>
    <row r="1">
      <c r="A1" s="221" t="inlineStr">
        <is>
          <t>Sourced from: https://www.ato.gov.au/law/view/document?docid=TXD/TD20254/NAT/ATO/00001</t>
        </is>
      </c>
    </row>
    <row r="2">
      <c r="A2" s="109" t="inlineStr">
        <is>
          <t>Country</t>
        </is>
      </c>
      <c r="B2" s="109" t="inlineStr">
        <is>
          <t>Cost group</t>
        </is>
      </c>
      <c r="C2" s="109" t="inlineStr">
        <is>
          <t>Country</t>
        </is>
      </c>
      <c r="D2" s="109" t="inlineStr">
        <is>
          <t>Cost group</t>
        </is>
      </c>
      <c r="E2" s="109" t="inlineStr">
        <is>
          <t>Country</t>
        </is>
      </c>
      <c r="F2" s="109" t="inlineStr">
        <is>
          <t>Cost group</t>
        </is>
      </c>
      <c r="H2" s="222" t="inlineStr">
        <is>
          <t>Table 6 - Level B.4 and below</t>
        </is>
      </c>
      <c r="I2" s="320" t="n"/>
      <c r="J2" s="320" t="n"/>
      <c r="K2" s="320" t="n"/>
      <c r="M2" s="222" t="inlineStr">
        <is>
          <t>Table 7 - Level B.5 and above</t>
        </is>
      </c>
      <c r="N2" s="320" t="n"/>
      <c r="O2" s="320" t="n"/>
      <c r="P2" s="320" t="n"/>
    </row>
    <row r="3" ht="15" customHeight="1" s="180">
      <c r="A3" s="111" t="inlineStr">
        <is>
          <t>Albania</t>
        </is>
      </c>
      <c r="B3" s="112" t="n">
        <v>2</v>
      </c>
      <c r="C3" s="111" t="inlineStr">
        <is>
          <t>Georgia</t>
        </is>
      </c>
      <c r="D3" s="113" t="n">
        <v>3</v>
      </c>
      <c r="E3" s="111" t="inlineStr">
        <is>
          <t>North Macedonia</t>
        </is>
      </c>
      <c r="F3" s="113" t="n">
        <v>2</v>
      </c>
      <c r="H3" s="108" t="inlineStr">
        <is>
          <t>Cost group</t>
        </is>
      </c>
      <c r="I3" s="108" t="inlineStr">
        <is>
          <t>Meals ($)</t>
        </is>
      </c>
      <c r="J3" s="108" t="inlineStr">
        <is>
          <t>Incidentals ($)</t>
        </is>
      </c>
      <c r="K3" s="108" t="inlineStr">
        <is>
          <t>Total ($)</t>
        </is>
      </c>
      <c r="M3" s="108" t="inlineStr">
        <is>
          <t>Cost group</t>
        </is>
      </c>
      <c r="N3" s="108" t="inlineStr">
        <is>
          <t>Meals ($)</t>
        </is>
      </c>
      <c r="O3" s="108" t="inlineStr">
        <is>
          <t>Incidentals ($)</t>
        </is>
      </c>
      <c r="P3" s="108" t="inlineStr">
        <is>
          <t>Total ($)</t>
        </is>
      </c>
    </row>
    <row r="4" ht="15" customHeight="1" s="180">
      <c r="A4" s="111" t="inlineStr">
        <is>
          <t>Algeria</t>
        </is>
      </c>
      <c r="B4" s="112" t="n">
        <v>3</v>
      </c>
      <c r="C4" s="111" t="inlineStr">
        <is>
          <t>Germany</t>
        </is>
      </c>
      <c r="D4" s="113" t="n">
        <v>5</v>
      </c>
      <c r="E4" s="111" t="inlineStr">
        <is>
          <t>Norway</t>
        </is>
      </c>
      <c r="F4" s="113" t="n">
        <v>6</v>
      </c>
      <c r="H4" s="116" t="n">
        <v>1</v>
      </c>
      <c r="I4" s="117" t="n">
        <v>75</v>
      </c>
      <c r="J4" s="117" t="n">
        <v>25</v>
      </c>
      <c r="K4" s="117" t="n">
        <v>100</v>
      </c>
      <c r="M4" s="116" t="n">
        <v>1</v>
      </c>
      <c r="N4" s="117" t="n">
        <v>95</v>
      </c>
      <c r="O4" s="117" t="n">
        <v>25</v>
      </c>
      <c r="P4" s="117" t="n">
        <v>120</v>
      </c>
    </row>
    <row r="5" ht="15" customHeight="1" s="180">
      <c r="A5" s="114" t="inlineStr">
        <is>
          <t>Antigua and
Barbuda</t>
        </is>
      </c>
      <c r="B5" s="112" t="n">
        <v>6</v>
      </c>
      <c r="C5" s="111" t="inlineStr">
        <is>
          <t>Gibraltar</t>
        </is>
      </c>
      <c r="D5" s="113" t="n">
        <v>4</v>
      </c>
      <c r="E5" s="111" t="inlineStr">
        <is>
          <t>Oman</t>
        </is>
      </c>
      <c r="F5" s="113" t="n">
        <v>6</v>
      </c>
      <c r="H5" s="116" t="n">
        <v>2</v>
      </c>
      <c r="I5" s="117" t="n">
        <v>110</v>
      </c>
      <c r="J5" s="117" t="n">
        <v>30</v>
      </c>
      <c r="K5" s="117" t="n">
        <v>140</v>
      </c>
      <c r="M5" s="116" t="n">
        <v>2</v>
      </c>
      <c r="N5" s="117" t="n">
        <v>130</v>
      </c>
      <c r="O5" s="117" t="n">
        <v>35</v>
      </c>
      <c r="P5" s="117" t="n">
        <v>165</v>
      </c>
    </row>
    <row r="6" ht="15" customHeight="1" s="180">
      <c r="A6" s="111" t="inlineStr">
        <is>
          <t>Argentina</t>
        </is>
      </c>
      <c r="B6" s="112" t="n">
        <v>2</v>
      </c>
      <c r="C6" s="111" t="inlineStr">
        <is>
          <t>Greece</t>
        </is>
      </c>
      <c r="D6" s="113" t="n">
        <v>4</v>
      </c>
      <c r="E6" s="111" t="inlineStr">
        <is>
          <t>Pakistan</t>
        </is>
      </c>
      <c r="F6" s="113" t="n">
        <v>2</v>
      </c>
      <c r="H6" s="116" t="n">
        <v>3</v>
      </c>
      <c r="I6" s="117" t="n">
        <v>150</v>
      </c>
      <c r="J6" s="117" t="n">
        <v>35</v>
      </c>
      <c r="K6" s="117" t="n">
        <v>185</v>
      </c>
      <c r="M6" s="116" t="n">
        <v>3</v>
      </c>
      <c r="N6" s="117" t="n">
        <v>175</v>
      </c>
      <c r="O6" s="117" t="n">
        <v>40</v>
      </c>
      <c r="P6" s="117" t="n">
        <v>215</v>
      </c>
    </row>
    <row r="7" ht="15" customHeight="1" s="180">
      <c r="A7" s="111" t="inlineStr">
        <is>
          <t>Armenia</t>
        </is>
      </c>
      <c r="B7" s="112" t="n">
        <v>3</v>
      </c>
      <c r="C7" s="111" t="inlineStr">
        <is>
          <t>Guatemala</t>
        </is>
      </c>
      <c r="D7" s="113" t="n">
        <v>4</v>
      </c>
      <c r="E7" s="111" t="inlineStr">
        <is>
          <t>Panama</t>
        </is>
      </c>
      <c r="F7" s="113" t="n">
        <v>4</v>
      </c>
      <c r="H7" s="116" t="n">
        <v>4</v>
      </c>
      <c r="I7" s="117" t="n">
        <v>195</v>
      </c>
      <c r="J7" s="117" t="n">
        <v>35</v>
      </c>
      <c r="K7" s="117" t="n">
        <v>230</v>
      </c>
      <c r="M7" s="116" t="n">
        <v>4</v>
      </c>
      <c r="N7" s="117" t="n">
        <v>215</v>
      </c>
      <c r="O7" s="117" t="n">
        <v>45</v>
      </c>
      <c r="P7" s="117" t="n">
        <v>260</v>
      </c>
    </row>
    <row r="8" ht="15" customHeight="1" s="180">
      <c r="A8" s="111" t="inlineStr">
        <is>
          <t>Austria</t>
        </is>
      </c>
      <c r="B8" s="112" t="n">
        <v>5</v>
      </c>
      <c r="C8" s="111" t="inlineStr">
        <is>
          <t>Guyana</t>
        </is>
      </c>
      <c r="D8" s="113" t="n">
        <v>4</v>
      </c>
      <c r="E8" s="114" t="inlineStr">
        <is>
          <t>Papua New
Guinea</t>
        </is>
      </c>
      <c r="F8" s="113" t="n">
        <v>4</v>
      </c>
      <c r="H8" s="116" t="n">
        <v>5</v>
      </c>
      <c r="I8" s="117" t="n">
        <v>235</v>
      </c>
      <c r="J8" s="117" t="n">
        <v>40</v>
      </c>
      <c r="K8" s="117" t="n">
        <v>275</v>
      </c>
      <c r="M8" s="116" t="n">
        <v>5</v>
      </c>
      <c r="N8" s="117" t="n">
        <v>290</v>
      </c>
      <c r="O8" s="117" t="n">
        <v>50</v>
      </c>
      <c r="P8" s="117" t="n">
        <v>340</v>
      </c>
    </row>
    <row r="9" ht="15" customHeight="1" s="180">
      <c r="A9" s="111" t="inlineStr">
        <is>
          <t>Azerbaijan</t>
        </is>
      </c>
      <c r="B9" s="112" t="n">
        <v>3</v>
      </c>
      <c r="C9" s="111" t="inlineStr">
        <is>
          <t>Hong Kong</t>
        </is>
      </c>
      <c r="D9" s="113" t="n">
        <v>6</v>
      </c>
      <c r="E9" s="111" t="inlineStr">
        <is>
          <t>Paraguay</t>
        </is>
      </c>
      <c r="F9" s="113" t="n">
        <v>2</v>
      </c>
      <c r="H9" s="116" t="n">
        <v>6</v>
      </c>
      <c r="I9" s="117" t="n">
        <v>280</v>
      </c>
      <c r="J9" s="117" t="n">
        <v>45</v>
      </c>
      <c r="K9" s="117" t="n">
        <v>325</v>
      </c>
      <c r="M9" s="116" t="n">
        <v>6</v>
      </c>
      <c r="N9" s="117" t="n">
        <v>360</v>
      </c>
      <c r="O9" s="117" t="n">
        <v>50</v>
      </c>
      <c r="P9" s="117" t="n">
        <v>410</v>
      </c>
    </row>
    <row r="10" ht="15" customHeight="1" s="180">
      <c r="A10" s="111" t="inlineStr">
        <is>
          <t>Bahamas</t>
        </is>
      </c>
      <c r="B10" s="112" t="n">
        <v>6</v>
      </c>
      <c r="C10" s="111" t="inlineStr">
        <is>
          <t>Hungary</t>
        </is>
      </c>
      <c r="D10" s="113" t="n">
        <v>3</v>
      </c>
      <c r="E10" s="111" t="inlineStr">
        <is>
          <t>Peru</t>
        </is>
      </c>
      <c r="F10" s="113" t="n">
        <v>4</v>
      </c>
    </row>
    <row r="11" ht="15" customHeight="1" s="180">
      <c r="A11" s="111" t="inlineStr">
        <is>
          <t>Bahrain</t>
        </is>
      </c>
      <c r="B11" s="112" t="n">
        <v>6</v>
      </c>
      <c r="C11" s="111" t="inlineStr">
        <is>
          <t>Iceland</t>
        </is>
      </c>
      <c r="D11" s="113" t="n">
        <v>6</v>
      </c>
      <c r="E11" s="111" t="inlineStr">
        <is>
          <t>Philippines</t>
        </is>
      </c>
      <c r="F11" s="113" t="n">
        <v>4</v>
      </c>
    </row>
    <row r="12" ht="15" customHeight="1" s="180">
      <c r="A12" s="111" t="inlineStr">
        <is>
          <t>Bangladesh</t>
        </is>
      </c>
      <c r="B12" s="112" t="n">
        <v>4</v>
      </c>
      <c r="C12" s="111" t="inlineStr">
        <is>
          <t>India</t>
        </is>
      </c>
      <c r="D12" s="113" t="n">
        <v>3</v>
      </c>
      <c r="E12" s="111" t="inlineStr">
        <is>
          <t>Poland</t>
        </is>
      </c>
      <c r="F12" s="113" t="n">
        <v>3</v>
      </c>
      <c r="H12" s="133" t="inlineStr">
        <is>
          <t xml:space="preserve">International Accommodation: </t>
        </is>
      </c>
      <c r="I12" s="134" t="n"/>
      <c r="J12" s="134" t="n"/>
      <c r="K12" s="134" t="n"/>
      <c r="L12" s="134" t="n"/>
      <c r="M12" s="134" t="n"/>
      <c r="N12" s="134" t="n"/>
      <c r="O12" s="135" t="n"/>
      <c r="P12" s="134" t="n"/>
      <c r="Q12" s="134" t="n"/>
    </row>
    <row r="13" ht="15" customHeight="1" s="180">
      <c r="A13" s="111" t="inlineStr">
        <is>
          <t>Barbados</t>
        </is>
      </c>
      <c r="B13" s="112" t="n">
        <v>6</v>
      </c>
      <c r="C13" s="111" t="inlineStr">
        <is>
          <t>Indonesia</t>
        </is>
      </c>
      <c r="D13" s="113" t="n">
        <v>3</v>
      </c>
      <c r="E13" s="111" t="inlineStr">
        <is>
          <t>Portugal</t>
        </is>
      </c>
      <c r="F13" s="113" t="n">
        <v>4</v>
      </c>
      <c r="H13" s="223" t="inlineStr">
        <is>
          <t>ATO guidelines for international travel only specify costs of meals and incidentals. To estimate accommodation costs for locations you are unfamiliar with, search Expedia.com and use the average cost for a 3* or 4* hotel (depending on the location).</t>
        </is>
      </c>
    </row>
    <row r="14" ht="15" customHeight="1" s="180">
      <c r="A14" s="111" t="inlineStr">
        <is>
          <t>Belarus</t>
        </is>
      </c>
      <c r="B14" s="112" t="n">
        <v>2</v>
      </c>
      <c r="C14" s="111" t="inlineStr">
        <is>
          <t>Iran</t>
        </is>
      </c>
      <c r="D14" s="113" t="n">
        <v>1</v>
      </c>
      <c r="E14" s="111" t="inlineStr">
        <is>
          <t>Puerto Rico</t>
        </is>
      </c>
      <c r="F14" s="113" t="n">
        <v>6</v>
      </c>
    </row>
    <row r="15" ht="15" customHeight="1" s="180">
      <c r="A15" s="111" t="inlineStr">
        <is>
          <t>Belgium</t>
        </is>
      </c>
      <c r="B15" s="112" t="n">
        <v>5</v>
      </c>
      <c r="C15" s="111" t="inlineStr">
        <is>
          <t>Iraq</t>
        </is>
      </c>
      <c r="D15" s="113" t="n">
        <v>4</v>
      </c>
      <c r="E15" s="111" t="inlineStr">
        <is>
          <t>Qatar</t>
        </is>
      </c>
      <c r="F15" s="113" t="n">
        <v>6</v>
      </c>
    </row>
    <row r="16" ht="15" customHeight="1" s="180">
      <c r="A16" s="111" t="inlineStr">
        <is>
          <t>Bermuda</t>
        </is>
      </c>
      <c r="B16" s="112" t="n">
        <v>6</v>
      </c>
      <c r="C16" s="111" t="inlineStr">
        <is>
          <t>Ireland</t>
        </is>
      </c>
      <c r="D16" s="113" t="n">
        <v>6</v>
      </c>
      <c r="E16" s="111" t="inlineStr">
        <is>
          <t>Romania</t>
        </is>
      </c>
      <c r="F16" s="113" t="n">
        <v>3</v>
      </c>
    </row>
    <row r="17" ht="15" customHeight="1" s="180">
      <c r="A17" s="111" t="inlineStr">
        <is>
          <t>Bolivia</t>
        </is>
      </c>
      <c r="B17" s="112" t="n">
        <v>3</v>
      </c>
      <c r="C17" s="111" t="inlineStr">
        <is>
          <t>Israel</t>
        </is>
      </c>
      <c r="D17" s="113" t="n">
        <v>6</v>
      </c>
      <c r="E17" s="111" t="inlineStr">
        <is>
          <t>Russia</t>
        </is>
      </c>
      <c r="F17" s="113" t="n">
        <v>4</v>
      </c>
      <c r="H17" s="223" t="inlineStr">
        <is>
          <t>For research trips (not conferences), you may be able to use academic guesthouses or colleges which are considerably cheaper than hotels. For longer stays, furnished appartments can also be a cheaper alternative.</t>
        </is>
      </c>
    </row>
    <row r="18" ht="15" customHeight="1" s="180">
      <c r="A18" s="111" t="inlineStr">
        <is>
          <t>Bosnia</t>
        </is>
      </c>
      <c r="B18" s="112" t="n">
        <v>2</v>
      </c>
      <c r="C18" s="111" t="inlineStr">
        <is>
          <t>Italy</t>
        </is>
      </c>
      <c r="D18" s="113" t="n">
        <v>5</v>
      </c>
      <c r="E18" s="111" t="inlineStr">
        <is>
          <t>Rwanda</t>
        </is>
      </c>
      <c r="F18" s="113" t="n">
        <v>3</v>
      </c>
    </row>
    <row r="19" ht="15" customHeight="1" s="180">
      <c r="A19" s="111" t="inlineStr">
        <is>
          <t>Brazil</t>
        </is>
      </c>
      <c r="B19" s="112" t="n">
        <v>3</v>
      </c>
      <c r="C19" s="111" t="inlineStr">
        <is>
          <t>Jamaica</t>
        </is>
      </c>
      <c r="D19" s="113" t="n">
        <v>4</v>
      </c>
      <c r="E19" s="111" t="inlineStr">
        <is>
          <t>Saint Lucia</t>
        </is>
      </c>
      <c r="F19" s="113" t="n">
        <v>5</v>
      </c>
    </row>
    <row r="20" ht="15" customHeight="1" s="180">
      <c r="A20" s="111" t="inlineStr">
        <is>
          <t>Brunei</t>
        </is>
      </c>
      <c r="B20" s="112" t="n">
        <v>3</v>
      </c>
      <c r="C20" s="111" t="inlineStr">
        <is>
          <t>Japan</t>
        </is>
      </c>
      <c r="D20" s="113" t="n">
        <v>5</v>
      </c>
      <c r="E20" s="111" t="inlineStr">
        <is>
          <t>Saint Vincent</t>
        </is>
      </c>
      <c r="F20" s="113" t="n">
        <v>4</v>
      </c>
    </row>
    <row r="21" ht="15" customHeight="1" s="180">
      <c r="A21" s="111" t="inlineStr">
        <is>
          <t>Bulgaria</t>
        </is>
      </c>
      <c r="B21" s="112" t="n">
        <v>3</v>
      </c>
      <c r="C21" s="111" t="inlineStr">
        <is>
          <t>Jordan</t>
        </is>
      </c>
      <c r="D21" s="113" t="n">
        <v>6</v>
      </c>
      <c r="E21" s="111" t="inlineStr">
        <is>
          <t>Samoa</t>
        </is>
      </c>
      <c r="F21" s="113" t="n">
        <v>4</v>
      </c>
    </row>
    <row r="22" ht="15" customHeight="1" s="180">
      <c r="A22" s="111" t="inlineStr">
        <is>
          <t>Burkina Faso</t>
        </is>
      </c>
      <c r="B22" s="112" t="n">
        <v>3</v>
      </c>
      <c r="C22" s="111" t="inlineStr">
        <is>
          <t>Kazakhstan</t>
        </is>
      </c>
      <c r="D22" s="113" t="n">
        <v>3</v>
      </c>
      <c r="E22" s="111" t="inlineStr">
        <is>
          <t>Saudi Arabia</t>
        </is>
      </c>
      <c r="F22" s="113" t="n">
        <v>5</v>
      </c>
    </row>
    <row r="23" ht="15" customHeight="1" s="180">
      <c r="A23" s="111" t="inlineStr">
        <is>
          <t>Cambodia</t>
        </is>
      </c>
      <c r="B23" s="112" t="n">
        <v>3</v>
      </c>
      <c r="C23" s="111" t="inlineStr">
        <is>
          <t>Kenya</t>
        </is>
      </c>
      <c r="D23" s="113" t="n">
        <v>4</v>
      </c>
      <c r="E23" s="111" t="inlineStr">
        <is>
          <t>Senegal</t>
        </is>
      </c>
      <c r="F23" s="113" t="n">
        <v>4</v>
      </c>
    </row>
    <row r="24" ht="15" customHeight="1" s="180">
      <c r="A24" s="111" t="inlineStr">
        <is>
          <t>Cameroon</t>
        </is>
      </c>
      <c r="B24" s="112" t="n">
        <v>4</v>
      </c>
      <c r="C24" s="114" t="inlineStr">
        <is>
          <t>Korea
Republic</t>
        </is>
      </c>
      <c r="D24" s="113" t="n">
        <v>5</v>
      </c>
      <c r="E24" s="111" t="inlineStr">
        <is>
          <t>Serbia</t>
        </is>
      </c>
      <c r="F24" s="113" t="n">
        <v>3</v>
      </c>
    </row>
    <row r="25" ht="15" customHeight="1" s="180">
      <c r="A25" s="111" t="inlineStr">
        <is>
          <t>Canada</t>
        </is>
      </c>
      <c r="B25" s="112" t="n">
        <v>5</v>
      </c>
      <c r="C25" s="111" t="inlineStr">
        <is>
          <t>Kosovo</t>
        </is>
      </c>
      <c r="D25" s="113" t="n">
        <v>2</v>
      </c>
      <c r="E25" s="111" t="inlineStr">
        <is>
          <t>Sierra Leone</t>
        </is>
      </c>
      <c r="F25" s="113" t="n">
        <v>2</v>
      </c>
    </row>
    <row r="26" ht="15" customHeight="1" s="180">
      <c r="A26" s="111" t="inlineStr">
        <is>
          <t>Chile</t>
        </is>
      </c>
      <c r="B26" s="112" t="n">
        <v>3</v>
      </c>
      <c r="C26" s="111" t="inlineStr">
        <is>
          <t>Kuwait</t>
        </is>
      </c>
      <c r="D26" s="113" t="n">
        <v>5</v>
      </c>
      <c r="E26" s="111" t="inlineStr">
        <is>
          <t>Singapore</t>
        </is>
      </c>
      <c r="F26" s="113" t="n">
        <v>6</v>
      </c>
    </row>
    <row r="27" ht="15" customHeight="1" s="180">
      <c r="A27" s="111" t="inlineStr">
        <is>
          <t>China</t>
        </is>
      </c>
      <c r="B27" s="112" t="n">
        <v>5</v>
      </c>
      <c r="C27" s="111" t="inlineStr">
        <is>
          <t>Kyrgyzstan</t>
        </is>
      </c>
      <c r="D27" s="113" t="n">
        <v>2</v>
      </c>
      <c r="E27" s="111" t="inlineStr">
        <is>
          <t>Slovakia</t>
        </is>
      </c>
      <c r="F27" s="113" t="n">
        <v>4</v>
      </c>
    </row>
    <row r="28" ht="15" customHeight="1" s="180">
      <c r="A28" s="111" t="inlineStr">
        <is>
          <t>Colombia</t>
        </is>
      </c>
      <c r="B28" s="112" t="n">
        <v>3</v>
      </c>
      <c r="C28" s="111" t="inlineStr">
        <is>
          <t>Laos</t>
        </is>
      </c>
      <c r="D28" s="113" t="n">
        <v>2</v>
      </c>
      <c r="E28" s="111" t="inlineStr">
        <is>
          <t>Slovenia</t>
        </is>
      </c>
      <c r="F28" s="113" t="n">
        <v>3</v>
      </c>
    </row>
    <row r="29" ht="15" customHeight="1" s="180">
      <c r="A29" s="111" t="inlineStr">
        <is>
          <t>Cook Islands</t>
        </is>
      </c>
      <c r="B29" s="112" t="n">
        <v>4</v>
      </c>
      <c r="C29" s="111" t="inlineStr">
        <is>
          <t>Latvia</t>
        </is>
      </c>
      <c r="D29" s="113" t="n">
        <v>4</v>
      </c>
      <c r="E29" s="111" t="inlineStr">
        <is>
          <t>Solomon Islands</t>
        </is>
      </c>
      <c r="F29" s="113" t="n">
        <v>4</v>
      </c>
    </row>
    <row r="30" ht="15" customHeight="1" s="180">
      <c r="A30" s="111" t="inlineStr">
        <is>
          <t>Costa Rica</t>
        </is>
      </c>
      <c r="B30" s="112" t="n">
        <v>4</v>
      </c>
      <c r="C30" s="111" t="inlineStr">
        <is>
          <t>Lebanon</t>
        </is>
      </c>
      <c r="D30" s="113" t="n">
        <v>3</v>
      </c>
      <c r="E30" s="111" t="inlineStr">
        <is>
          <t>South Africa</t>
        </is>
      </c>
      <c r="F30" s="113" t="n">
        <v>2</v>
      </c>
    </row>
    <row r="31" ht="15" customHeight="1" s="180">
      <c r="A31" s="111" t="inlineStr">
        <is>
          <t>Cote D’lvoire</t>
        </is>
      </c>
      <c r="B31" s="112" t="n">
        <v>5</v>
      </c>
      <c r="C31" s="111" t="inlineStr">
        <is>
          <t>Lithuania</t>
        </is>
      </c>
      <c r="D31" s="113" t="n">
        <v>4</v>
      </c>
      <c r="E31" s="111" t="inlineStr">
        <is>
          <t>Spain</t>
        </is>
      </c>
      <c r="F31" s="113" t="n">
        <v>4</v>
      </c>
    </row>
    <row r="32" ht="15" customHeight="1" s="180">
      <c r="A32" s="111" t="inlineStr">
        <is>
          <t>Croatia</t>
        </is>
      </c>
      <c r="B32" s="112" t="n">
        <v>3</v>
      </c>
      <c r="C32" s="111" t="inlineStr">
        <is>
          <t>Luxembourg</t>
        </is>
      </c>
      <c r="D32" s="113" t="n">
        <v>5</v>
      </c>
      <c r="E32" s="111" t="inlineStr">
        <is>
          <t>Sri Lanka</t>
        </is>
      </c>
      <c r="F32" s="113" t="n">
        <v>3</v>
      </c>
    </row>
    <row r="33" ht="15" customHeight="1" s="180">
      <c r="A33" s="111" t="inlineStr">
        <is>
          <t>Cyprus</t>
        </is>
      </c>
      <c r="B33" s="112" t="n">
        <v>4</v>
      </c>
      <c r="C33" s="111" t="inlineStr">
        <is>
          <t>Macau</t>
        </is>
      </c>
      <c r="D33" s="113" t="n">
        <v>5</v>
      </c>
      <c r="E33" s="111" t="inlineStr">
        <is>
          <t>Sweden</t>
        </is>
      </c>
      <c r="F33" s="113" t="n">
        <v>5</v>
      </c>
    </row>
    <row r="34" ht="15" customHeight="1" s="180">
      <c r="A34" s="114" t="inlineStr">
        <is>
          <t>Czech
Republic</t>
        </is>
      </c>
      <c r="B34" s="112" t="n">
        <v>4</v>
      </c>
      <c r="C34" s="111" t="inlineStr">
        <is>
          <t>Malaysia</t>
        </is>
      </c>
      <c r="D34" s="113" t="n">
        <v>3</v>
      </c>
      <c r="E34" s="111" t="inlineStr">
        <is>
          <t>Switzerland</t>
        </is>
      </c>
      <c r="F34" s="113" t="n">
        <v>6</v>
      </c>
    </row>
    <row r="35" ht="15" customHeight="1" s="180">
      <c r="A35" s="111" t="inlineStr">
        <is>
          <t>Denmark</t>
        </is>
      </c>
      <c r="B35" s="112" t="n">
        <v>6</v>
      </c>
      <c r="C35" s="111" t="inlineStr">
        <is>
          <t>Mali</t>
        </is>
      </c>
      <c r="D35" s="113" t="n">
        <v>3</v>
      </c>
      <c r="E35" s="111" t="inlineStr">
        <is>
          <t>Taiwan</t>
        </is>
      </c>
      <c r="F35" s="113" t="n">
        <v>5</v>
      </c>
    </row>
    <row r="36" ht="15" customHeight="1" s="180">
      <c r="A36" s="114" t="inlineStr">
        <is>
          <t>Dominican
Republic</t>
        </is>
      </c>
      <c r="B36" s="112" t="n">
        <v>4</v>
      </c>
      <c r="C36" s="111" t="inlineStr">
        <is>
          <t>Malta</t>
        </is>
      </c>
      <c r="D36" s="113" t="n">
        <v>4</v>
      </c>
      <c r="E36" s="111" t="inlineStr">
        <is>
          <t>Tanzania</t>
        </is>
      </c>
      <c r="F36" s="113" t="n">
        <v>3</v>
      </c>
    </row>
    <row r="37" ht="15" customHeight="1" s="180">
      <c r="A37" s="111" t="inlineStr">
        <is>
          <t>East Timor</t>
        </is>
      </c>
      <c r="B37" s="112" t="n">
        <v>4</v>
      </c>
      <c r="C37" s="111" t="inlineStr">
        <is>
          <t>Mauritius</t>
        </is>
      </c>
      <c r="D37" s="113" t="n">
        <v>4</v>
      </c>
      <c r="E37" s="111" t="inlineStr">
        <is>
          <t>Thailand</t>
        </is>
      </c>
      <c r="F37" s="113" t="n">
        <v>4</v>
      </c>
    </row>
    <row r="38" ht="15" customHeight="1" s="180">
      <c r="A38" s="111" t="inlineStr">
        <is>
          <t>Ecuador</t>
        </is>
      </c>
      <c r="B38" s="113" t="n">
        <v>4</v>
      </c>
      <c r="C38" s="111" t="inlineStr">
        <is>
          <t>Mexico</t>
        </is>
      </c>
      <c r="D38" s="113" t="n">
        <v>4</v>
      </c>
      <c r="E38" s="111" t="inlineStr">
        <is>
          <t>Tonga</t>
        </is>
      </c>
      <c r="F38" s="113" t="n">
        <v>3</v>
      </c>
    </row>
    <row r="39" ht="15" customHeight="1" s="180">
      <c r="A39" s="111" t="inlineStr">
        <is>
          <t>Egypt</t>
        </is>
      </c>
      <c r="B39" s="113" t="n">
        <v>3</v>
      </c>
      <c r="C39" s="111" t="inlineStr">
        <is>
          <t>Monaco</t>
        </is>
      </c>
      <c r="D39" s="113" t="n">
        <v>6</v>
      </c>
      <c r="E39" s="114" t="inlineStr">
        <is>
          <t>Trinidad and
Tobago</t>
        </is>
      </c>
      <c r="F39" s="113" t="n">
        <v>6</v>
      </c>
    </row>
    <row r="40" ht="15" customHeight="1" s="180">
      <c r="A40" s="111" t="inlineStr">
        <is>
          <t>El Salvador</t>
        </is>
      </c>
      <c r="B40" s="113" t="n">
        <v>4</v>
      </c>
      <c r="C40" s="111" t="inlineStr">
        <is>
          <t>Morocco</t>
        </is>
      </c>
      <c r="D40" s="113" t="n">
        <v>3</v>
      </c>
      <c r="E40" s="111" t="inlineStr">
        <is>
          <t>Tunisia</t>
        </is>
      </c>
      <c r="F40" s="113" t="n">
        <v>2</v>
      </c>
    </row>
    <row r="41" ht="15" customHeight="1" s="180">
      <c r="A41" s="111" t="inlineStr">
        <is>
          <t>Eritrea</t>
        </is>
      </c>
      <c r="B41" s="113" t="n">
        <v>3</v>
      </c>
      <c r="C41" s="111" t="inlineStr">
        <is>
          <t>Mozambique</t>
        </is>
      </c>
      <c r="D41" s="113" t="n">
        <v>3</v>
      </c>
      <c r="E41" s="111" t="inlineStr">
        <is>
          <t>Türkiye (Turkey)</t>
        </is>
      </c>
      <c r="F41" s="113" t="n">
        <v>3</v>
      </c>
    </row>
    <row r="42" ht="15" customHeight="1" s="180">
      <c r="A42" s="111" t="inlineStr">
        <is>
          <t>Estonia</t>
        </is>
      </c>
      <c r="B42" s="113" t="n">
        <v>4</v>
      </c>
      <c r="C42" s="111" t="inlineStr">
        <is>
          <t>Myanmar</t>
        </is>
      </c>
      <c r="D42" s="113" t="n">
        <v>2</v>
      </c>
      <c r="E42" s="111" t="inlineStr">
        <is>
          <t>Uganda</t>
        </is>
      </c>
      <c r="F42" s="113" t="n">
        <v>3</v>
      </c>
    </row>
    <row r="43" ht="15" customHeight="1" s="180">
      <c r="A43" s="111" t="inlineStr">
        <is>
          <t>Ethiopia</t>
        </is>
      </c>
      <c r="B43" s="113" t="n">
        <v>2</v>
      </c>
      <c r="C43" s="111" t="inlineStr">
        <is>
          <t>Namibia</t>
        </is>
      </c>
      <c r="D43" s="113" t="n">
        <v>2</v>
      </c>
      <c r="E43" s="111" t="inlineStr">
        <is>
          <t>Ukraine</t>
        </is>
      </c>
      <c r="F43" s="113" t="n">
        <v>3</v>
      </c>
    </row>
    <row r="44" ht="15" customHeight="1" s="180">
      <c r="A44" s="111" t="inlineStr">
        <is>
          <t>Fiji</t>
        </is>
      </c>
      <c r="B44" s="113" t="n">
        <v>3</v>
      </c>
      <c r="C44" s="111" t="inlineStr">
        <is>
          <t>Nepal</t>
        </is>
      </c>
      <c r="D44" s="113" t="n">
        <v>3</v>
      </c>
      <c r="E44" s="114" t="inlineStr">
        <is>
          <t>United Arab
Emirates</t>
        </is>
      </c>
      <c r="F44" s="113" t="n">
        <v>6</v>
      </c>
    </row>
    <row r="45" ht="15" customHeight="1" s="180">
      <c r="A45" s="111" t="inlineStr">
        <is>
          <t>Finland</t>
        </is>
      </c>
      <c r="B45" s="113" t="n">
        <v>6</v>
      </c>
      <c r="C45" s="111" t="inlineStr">
        <is>
          <t>Netherlands</t>
        </is>
      </c>
      <c r="D45" s="113" t="n">
        <v>5</v>
      </c>
      <c r="E45" s="111" t="inlineStr">
        <is>
          <t>United Kingdom</t>
        </is>
      </c>
      <c r="F45" s="113" t="n">
        <v>5</v>
      </c>
    </row>
    <row r="46" ht="15" customHeight="1" s="180">
      <c r="A46" s="111" t="inlineStr">
        <is>
          <t>France</t>
        </is>
      </c>
      <c r="B46" s="113" t="n">
        <v>5</v>
      </c>
      <c r="C46" s="114" t="inlineStr">
        <is>
          <t>New
Caledonia</t>
        </is>
      </c>
      <c r="D46" s="113" t="n">
        <v>5</v>
      </c>
      <c r="E46" s="114" t="inlineStr">
        <is>
          <t>United States of
America</t>
        </is>
      </c>
      <c r="F46" s="113" t="n">
        <v>6</v>
      </c>
    </row>
    <row r="47" ht="15" customHeight="1" s="180">
      <c r="A47" s="114" t="inlineStr">
        <is>
          <t>French
Polynesia</t>
        </is>
      </c>
      <c r="B47" s="113" t="n">
        <v>6</v>
      </c>
      <c r="C47" s="111" t="inlineStr">
        <is>
          <t>New Zealand</t>
        </is>
      </c>
      <c r="D47" s="113" t="n">
        <v>4</v>
      </c>
      <c r="E47" s="111" t="inlineStr">
        <is>
          <t>Uruguay</t>
        </is>
      </c>
      <c r="F47" s="113" t="n">
        <v>3</v>
      </c>
    </row>
    <row r="48" ht="15" customHeight="1" s="180">
      <c r="A48" s="111" t="inlineStr">
        <is>
          <t>Gabon</t>
        </is>
      </c>
      <c r="B48" s="113" t="n">
        <v>5</v>
      </c>
      <c r="C48" s="111" t="inlineStr">
        <is>
          <t>Nicaragua</t>
        </is>
      </c>
      <c r="D48" s="113" t="n">
        <v>3</v>
      </c>
      <c r="E48" s="111" t="inlineStr">
        <is>
          <t>Vanuatu</t>
        </is>
      </c>
      <c r="F48" s="113" t="n">
        <v>4</v>
      </c>
    </row>
    <row r="49" ht="15" customHeight="1" s="180">
      <c r="A49" s="111" t="inlineStr">
        <is>
          <t>Gambia</t>
        </is>
      </c>
      <c r="B49" s="113" t="n">
        <v>2</v>
      </c>
      <c r="C49" s="111" t="inlineStr">
        <is>
          <t>Nigeria</t>
        </is>
      </c>
      <c r="D49" s="113" t="n">
        <v>4</v>
      </c>
      <c r="E49" s="111" t="inlineStr">
        <is>
          <t>Vietnam</t>
        </is>
      </c>
      <c r="F49" s="113" t="n">
        <v>3</v>
      </c>
    </row>
    <row r="50" ht="15" customHeight="1" s="180"/>
    <row r="51" ht="15" customHeight="1" s="180"/>
    <row r="52" ht="15" customHeight="1" s="180"/>
    <row r="53" ht="15" customHeight="1" s="180"/>
    <row r="54" ht="15" customHeight="1" s="180"/>
    <row r="55" ht="15" customHeight="1" s="180"/>
    <row r="56" ht="15" customHeight="1" s="180"/>
    <row r="57" ht="15" customHeight="1" s="180"/>
    <row r="58" ht="15" customHeight="1" s="180"/>
    <row r="59" ht="15" customHeight="1" s="180"/>
    <row r="60" ht="15" customHeight="1" s="180"/>
    <row r="61" ht="15" customHeight="1" s="180"/>
    <row r="62" ht="15" customHeight="1" s="180"/>
    <row r="63" ht="15" customHeight="1" s="180"/>
    <row r="64" ht="15" customHeight="1" s="180"/>
    <row r="65" ht="15" customHeight="1" s="180"/>
    <row r="66" ht="15" customHeight="1" s="180"/>
    <row r="67" ht="15" customHeight="1" s="180"/>
    <row r="68" ht="15" customHeight="1" s="180"/>
    <row r="69" ht="15" customHeight="1" s="180"/>
    <row r="70" ht="15" customHeight="1" s="180"/>
    <row r="71" ht="15" customHeight="1" s="180"/>
    <row r="72" ht="15" customHeight="1" s="180"/>
    <row r="73" ht="15" customHeight="1" s="180"/>
    <row r="74" ht="15" customHeight="1" s="180"/>
    <row r="75" ht="15" customHeight="1" s="180"/>
    <row r="76" ht="15" customHeight="1" s="180"/>
    <row r="77" ht="15" customHeight="1" s="180"/>
    <row r="78" ht="15" customHeight="1" s="180"/>
    <row r="79" ht="15" customHeight="1" s="180"/>
    <row r="80" ht="15" customHeight="1" s="180"/>
    <row r="83" ht="15" customHeight="1" s="180"/>
    <row r="84" ht="15" customHeight="1" s="180"/>
    <row r="85" ht="15" customHeight="1" s="180"/>
    <row r="86" ht="15" customHeight="1" s="180"/>
    <row r="87" ht="15" customHeight="1" s="180"/>
    <row r="88" ht="15" customHeight="1" s="180"/>
    <row r="89" ht="15" customHeight="1" s="180"/>
    <row r="90" ht="15" customHeight="1" s="180"/>
    <row r="91" ht="15" customHeight="1" s="180"/>
    <row r="92" ht="15" customHeight="1" s="180"/>
    <row r="93" ht="15" customHeight="1" s="180"/>
    <row r="94" ht="15" customHeight="1" s="180"/>
    <row r="95" ht="15" customHeight="1" s="180"/>
    <row r="96" ht="15" customHeight="1" s="180"/>
    <row r="97" ht="15" customHeight="1" s="180"/>
    <row r="98" ht="15" customHeight="1" s="180"/>
    <row r="102" ht="15" customHeight="1" s="180"/>
    <row r="103" ht="15" customHeight="1" s="180"/>
    <row r="104" ht="15" customHeight="1" s="180"/>
    <row r="105" ht="15" customHeight="1" s="180"/>
    <row r="106" ht="15" customHeight="1" s="180"/>
    <row r="107" ht="15" customHeight="1" s="180"/>
    <row r="108" ht="15" customHeight="1" s="180"/>
    <row r="109" ht="15" customHeight="1" s="180"/>
    <row r="110" ht="15" customHeight="1" s="180"/>
    <row r="111" ht="15" customHeight="1" s="180"/>
    <row r="112" ht="15" customHeight="1" s="180"/>
    <row r="113" ht="15" customHeight="1" s="180"/>
    <row r="114" ht="15" customHeight="1" s="180"/>
    <row r="117" ht="15" customHeight="1" s="180"/>
    <row r="118" ht="15" customHeight="1" s="180"/>
    <row r="119" ht="15" customHeight="1" s="180"/>
    <row r="120" ht="15" customHeight="1" s="180"/>
    <row r="121" ht="15" customHeight="1" s="180"/>
    <row r="122" ht="15" customHeight="1" s="180"/>
    <row r="123" ht="15" customHeight="1" s="180"/>
    <row r="124" ht="15" customHeight="1" s="180"/>
    <row r="125" ht="15" customHeight="1" s="180"/>
    <row r="126" ht="15" customHeight="1" s="180"/>
    <row r="127" ht="15" customHeight="1" s="180"/>
    <row r="128" ht="15" customHeight="1" s="180"/>
    <row r="129" ht="15" customHeight="1" s="180"/>
    <row r="130" ht="15" customHeight="1" s="180"/>
    <row r="131" ht="15" customHeight="1" s="180"/>
    <row r="141" ht="15" customHeight="1" s="180"/>
    <row r="145" ht="15" customHeight="1" s="180"/>
  </sheetData>
  <mergeCells count="5">
    <mergeCell ref="H17:Q19"/>
    <mergeCell ref="A1:P1"/>
    <mergeCell ref="H13:Q16"/>
    <mergeCell ref="H2:K2"/>
    <mergeCell ref="M2:P2"/>
  </mergeCells>
  <pageMargins left="0.7086614173228347" right="0.7086614173228347" top="0.7480314960629921" bottom="0.7480314960629921" header="0.3149606299212598" footer="0.3149606299212598"/>
  <pageSetup orientation="portrait" paperSize="9" scale="32"/>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5"/>
  <cols>
    <col width="9.26953125" customWidth="1" style="180" min="1" max="1"/>
  </cols>
  <sheetData>
    <row r="1">
      <c r="A1" s="4" t="inlineStr">
        <is>
          <t>The ARC has advised that flight and accommodation costs should reflect prices at the time of application.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maocal</dc:creator>
  <dcterms:created xsi:type="dcterms:W3CDTF">2011-09-26T23:35:21Z</dcterms:created>
  <dcterms:modified xsi:type="dcterms:W3CDTF">2026-03-31T05:02:04Z</dcterms:modified>
  <cp:lastModifiedBy>Carrie Liang</cp:lastModifiedBy>
  <cp:lastPrinted>2016-12-16T03:29:36Z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0x010100A3D6A96C962AF042A05211A2E13838B4</vt:lpwstr>
  </property>
</Properties>
</file>